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2 fainal odit 2024-25\20252026\SMCE 2026\BETAVADANA MUVADA\"/>
    </mc:Choice>
  </mc:AlternateContent>
  <xr:revisionPtr revIDLastSave="0" documentId="13_ncr:1_{53A64A68-3B21-413D-AA16-445228E6BF24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ROJMED" sheetId="10" r:id="rId1"/>
    <sheet name="KHATAVAHI" sheetId="2" r:id="rId2"/>
    <sheet name="GRANTA RAJISTAR" sheetId="5" r:id="rId3"/>
    <sheet name="CHEK RAJISTAR" sheetId="6" r:id="rId4"/>
    <sheet name="Sheet4" sheetId="8" r:id="rId5"/>
    <sheet name="BIL RAJISTAR" sheetId="7" r:id="rId6"/>
    <sheet name="Sheet3" sheetId="15" r:id="rId7"/>
    <sheet name="Sheet1" sheetId="11" r:id="rId8"/>
    <sheet name="Sheet2" sheetId="12" r:id="rId9"/>
    <sheet name="P10" sheetId="13" r:id="rId10"/>
    <sheet name="P9" sheetId="14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2" i="7" l="1"/>
  <c r="J61" i="7"/>
  <c r="J60" i="7"/>
  <c r="J59" i="7"/>
  <c r="J58" i="7"/>
  <c r="J57" i="7"/>
  <c r="J56" i="7"/>
  <c r="J55" i="7"/>
  <c r="I12" i="6"/>
  <c r="I11" i="6"/>
  <c r="I9" i="6"/>
  <c r="G29" i="5"/>
  <c r="N28" i="5"/>
  <c r="K28" i="5"/>
  <c r="J28" i="5"/>
  <c r="G25" i="5"/>
  <c r="N24" i="5"/>
  <c r="K24" i="5"/>
  <c r="J24" i="5"/>
  <c r="N50" i="2"/>
  <c r="O49" i="2"/>
  <c r="G35" i="2"/>
  <c r="G34" i="2"/>
  <c r="G59" i="2"/>
  <c r="G60" i="2" s="1"/>
  <c r="G58" i="2"/>
  <c r="G46" i="2"/>
  <c r="O35" i="2"/>
  <c r="O34" i="2"/>
  <c r="G57" i="2"/>
  <c r="I344" i="10"/>
  <c r="R339" i="10"/>
  <c r="R340" i="10"/>
  <c r="R341" i="10"/>
  <c r="R342" i="10"/>
  <c r="R343" i="10"/>
  <c r="R344" i="10"/>
  <c r="R338" i="10"/>
  <c r="G367" i="10"/>
  <c r="Q366" i="10"/>
  <c r="P366" i="10"/>
  <c r="P368" i="10" s="1"/>
  <c r="R360" i="10"/>
  <c r="J360" i="10"/>
  <c r="G354" i="10"/>
  <c r="Q353" i="10"/>
  <c r="P353" i="10"/>
  <c r="R349" i="10"/>
  <c r="J349" i="10"/>
  <c r="G346" i="10"/>
  <c r="Q345" i="10"/>
  <c r="P345" i="10"/>
  <c r="P347" i="10" s="1"/>
  <c r="R336" i="10"/>
  <c r="J336" i="10"/>
  <c r="I325" i="10"/>
  <c r="G330" i="10"/>
  <c r="Q329" i="10"/>
  <c r="P329" i="10"/>
  <c r="R323" i="10"/>
  <c r="J323" i="10"/>
  <c r="G320" i="10"/>
  <c r="Q319" i="10"/>
  <c r="P319" i="10"/>
  <c r="R313" i="10"/>
  <c r="J313" i="10"/>
  <c r="E23" i="14"/>
  <c r="N18" i="13"/>
  <c r="Q306" i="10"/>
  <c r="R300" i="10"/>
  <c r="G307" i="10"/>
  <c r="P306" i="10"/>
  <c r="J300" i="10"/>
  <c r="G297" i="10"/>
  <c r="Q296" i="10"/>
  <c r="P296" i="10"/>
  <c r="P298" i="10" s="1"/>
  <c r="R290" i="10"/>
  <c r="J290" i="10"/>
  <c r="Q273" i="10"/>
  <c r="I246" i="10"/>
  <c r="G284" i="10"/>
  <c r="P283" i="10"/>
  <c r="J277" i="10"/>
  <c r="G274" i="10"/>
  <c r="P273" i="10"/>
  <c r="R267" i="10"/>
  <c r="J267" i="10"/>
  <c r="G261" i="10"/>
  <c r="P260" i="10"/>
  <c r="J254" i="10"/>
  <c r="G251" i="10"/>
  <c r="P250" i="10"/>
  <c r="Q250" i="10" s="1"/>
  <c r="R244" i="10"/>
  <c r="J244" i="10"/>
  <c r="I233" i="10"/>
  <c r="G238" i="10"/>
  <c r="P237" i="10"/>
  <c r="J231" i="10"/>
  <c r="G228" i="10"/>
  <c r="P227" i="10"/>
  <c r="R221" i="10"/>
  <c r="J221" i="10"/>
  <c r="R366" i="10" l="1"/>
  <c r="P275" i="10"/>
  <c r="R273" i="10"/>
  <c r="P229" i="10"/>
  <c r="Q227" i="10"/>
  <c r="R227" i="10" s="1"/>
  <c r="R345" i="10"/>
  <c r="P355" i="10"/>
  <c r="R353" i="10"/>
  <c r="P331" i="10"/>
  <c r="R329" i="10"/>
  <c r="R319" i="10"/>
  <c r="P321" i="10"/>
  <c r="Q260" i="10"/>
  <c r="R260" i="10" s="1"/>
  <c r="R296" i="10"/>
  <c r="P308" i="10"/>
  <c r="P285" i="10"/>
  <c r="Q283" i="10"/>
  <c r="R250" i="10"/>
  <c r="P262" i="10"/>
  <c r="P252" i="10"/>
  <c r="P239" i="10"/>
  <c r="Q237" i="10"/>
  <c r="R237" i="10" s="1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R306" i="10" l="1"/>
  <c r="R283" i="10"/>
  <c r="I203" i="10"/>
  <c r="R201" i="10"/>
  <c r="R200" i="10"/>
  <c r="R198" i="10"/>
  <c r="I164" i="10"/>
  <c r="I144" i="10"/>
  <c r="R141" i="10"/>
  <c r="R139" i="10"/>
  <c r="I131" i="10"/>
  <c r="I119" i="10"/>
  <c r="G215" i="10" l="1"/>
  <c r="P214" i="10"/>
  <c r="J208" i="10"/>
  <c r="G205" i="10"/>
  <c r="P204" i="10"/>
  <c r="P206" i="10" s="1"/>
  <c r="J198" i="10"/>
  <c r="G192" i="10"/>
  <c r="P191" i="10"/>
  <c r="J185" i="10"/>
  <c r="G182" i="10"/>
  <c r="P181" i="10"/>
  <c r="P183" i="10" s="1"/>
  <c r="I177" i="10"/>
  <c r="R175" i="10"/>
  <c r="J175" i="10"/>
  <c r="G169" i="10"/>
  <c r="P168" i="10"/>
  <c r="J162" i="10"/>
  <c r="G159" i="10"/>
  <c r="P158" i="10"/>
  <c r="P160" i="10" s="1"/>
  <c r="I154" i="10"/>
  <c r="R152" i="10"/>
  <c r="J152" i="10"/>
  <c r="G146" i="10"/>
  <c r="P145" i="10"/>
  <c r="Q145" i="10" s="1"/>
  <c r="J139" i="10"/>
  <c r="G136" i="10"/>
  <c r="P135" i="10"/>
  <c r="P137" i="10" s="1"/>
  <c r="R129" i="10"/>
  <c r="J129" i="10"/>
  <c r="I112" i="10"/>
  <c r="P113" i="10"/>
  <c r="R112" i="10"/>
  <c r="R111" i="10"/>
  <c r="R110" i="10"/>
  <c r="R109" i="10"/>
  <c r="R108" i="10"/>
  <c r="R107" i="10"/>
  <c r="R106" i="10"/>
  <c r="R105" i="10"/>
  <c r="R103" i="10"/>
  <c r="Q158" i="10" l="1"/>
  <c r="R158" i="10" s="1"/>
  <c r="Q181" i="10"/>
  <c r="R181" i="10" s="1"/>
  <c r="Q135" i="10"/>
  <c r="R135" i="10" s="1"/>
  <c r="Q214" i="10"/>
  <c r="R214" i="10" s="1"/>
  <c r="Q204" i="10"/>
  <c r="R204" i="10" s="1"/>
  <c r="R145" i="10"/>
  <c r="P216" i="10"/>
  <c r="P193" i="10"/>
  <c r="Q191" i="10"/>
  <c r="Q168" i="10"/>
  <c r="P170" i="10"/>
  <c r="P147" i="10"/>
  <c r="O7" i="2"/>
  <c r="O8" i="2" s="1"/>
  <c r="G7" i="2"/>
  <c r="G8" i="2" s="1"/>
  <c r="F63" i="2"/>
  <c r="E63" i="2"/>
  <c r="G56" i="2"/>
  <c r="O30" i="2"/>
  <c r="O31" i="2" s="1"/>
  <c r="O32" i="2" s="1"/>
  <c r="O33" i="2" s="1"/>
  <c r="O45" i="2"/>
  <c r="O46" i="2" s="1"/>
  <c r="O47" i="2" s="1"/>
  <c r="O48" i="2" s="1"/>
  <c r="M50" i="2"/>
  <c r="R191" i="10" l="1"/>
  <c r="R168" i="10"/>
  <c r="G63" i="2"/>
  <c r="O50" i="2"/>
  <c r="F50" i="2"/>
  <c r="E50" i="2"/>
  <c r="N40" i="2"/>
  <c r="M40" i="2"/>
  <c r="N24" i="2"/>
  <c r="M24" i="2"/>
  <c r="F24" i="2"/>
  <c r="E24" i="2"/>
  <c r="F12" i="2"/>
  <c r="E12" i="2"/>
  <c r="N12" i="2"/>
  <c r="M12" i="2"/>
  <c r="F40" i="2"/>
  <c r="E40" i="2"/>
  <c r="I6" i="6"/>
  <c r="I7" i="6"/>
  <c r="I8" i="6"/>
  <c r="I10" i="6"/>
  <c r="I5" i="6"/>
  <c r="G50" i="2" l="1"/>
  <c r="O24" i="2"/>
  <c r="G12" i="2"/>
  <c r="G40" i="2"/>
  <c r="O40" i="2"/>
  <c r="G24" i="2"/>
  <c r="O12" i="2"/>
  <c r="J7" i="7"/>
  <c r="G27" i="5" l="1"/>
  <c r="N26" i="5"/>
  <c r="K26" i="5"/>
  <c r="J26" i="5"/>
  <c r="G23" i="5"/>
  <c r="N22" i="5"/>
  <c r="K22" i="5"/>
  <c r="J22" i="5"/>
  <c r="G21" i="5"/>
  <c r="N20" i="5"/>
  <c r="K20" i="5"/>
  <c r="J20" i="5"/>
  <c r="G19" i="5"/>
  <c r="N18" i="5"/>
  <c r="K18" i="5"/>
  <c r="J18" i="5"/>
  <c r="G17" i="5"/>
  <c r="N16" i="5"/>
  <c r="K16" i="5"/>
  <c r="J16" i="5"/>
  <c r="G15" i="5"/>
  <c r="N14" i="5"/>
  <c r="K14" i="5"/>
  <c r="J14" i="5"/>
  <c r="J10" i="5"/>
  <c r="K10" i="5"/>
  <c r="N10" i="5"/>
  <c r="G11" i="5"/>
  <c r="J12" i="5"/>
  <c r="K12" i="5"/>
  <c r="N12" i="5"/>
  <c r="G13" i="5"/>
  <c r="J8" i="5"/>
  <c r="K8" i="5"/>
  <c r="N8" i="5"/>
  <c r="G9" i="5"/>
  <c r="N6" i="5"/>
  <c r="K6" i="5"/>
  <c r="J6" i="5"/>
  <c r="G7" i="5"/>
  <c r="I93" i="10"/>
  <c r="I94" i="10"/>
  <c r="I92" i="10"/>
  <c r="G123" i="10"/>
  <c r="P122" i="10"/>
  <c r="J117" i="10"/>
  <c r="G114" i="10"/>
  <c r="P115" i="10"/>
  <c r="J103" i="10"/>
  <c r="G97" i="10"/>
  <c r="P96" i="10"/>
  <c r="Q96" i="10" s="1"/>
  <c r="J90" i="10"/>
  <c r="G87" i="10"/>
  <c r="P86" i="10"/>
  <c r="P88" i="10" s="1"/>
  <c r="J80" i="10"/>
  <c r="Q113" i="10" l="1"/>
  <c r="R113" i="10" s="1"/>
  <c r="R96" i="10"/>
  <c r="Q86" i="10"/>
  <c r="Q122" i="10"/>
  <c r="P124" i="10"/>
  <c r="P98" i="10"/>
  <c r="R86" i="10" l="1"/>
  <c r="R122" i="10"/>
  <c r="I72" i="10" l="1"/>
  <c r="P73" i="10"/>
  <c r="R73" i="10" s="1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52" i="10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T17" i="2" l="1"/>
  <c r="E28" i="14"/>
  <c r="H24" i="13" l="1"/>
  <c r="G24" i="13"/>
  <c r="E24" i="13"/>
  <c r="I28" i="13" s="1"/>
  <c r="D24" i="13"/>
  <c r="D28" i="13" s="1"/>
  <c r="I22" i="13"/>
  <c r="F22" i="13"/>
  <c r="I21" i="13"/>
  <c r="F21" i="13"/>
  <c r="I20" i="13"/>
  <c r="F20" i="13"/>
  <c r="I19" i="13"/>
  <c r="F19" i="13"/>
  <c r="I18" i="13"/>
  <c r="F18" i="13"/>
  <c r="I17" i="13"/>
  <c r="F17" i="13"/>
  <c r="I16" i="13"/>
  <c r="F16" i="13"/>
  <c r="F15" i="13"/>
  <c r="J15" i="13" s="1"/>
  <c r="I14" i="13"/>
  <c r="F14" i="13"/>
  <c r="J21" i="13" l="1"/>
  <c r="J17" i="13"/>
  <c r="I24" i="13"/>
  <c r="I29" i="13" s="1"/>
  <c r="F24" i="13"/>
  <c r="D29" i="13" s="1"/>
  <c r="J16" i="13"/>
  <c r="J18" i="13"/>
  <c r="J20" i="13"/>
  <c r="J22" i="13"/>
  <c r="J19" i="13"/>
  <c r="J14" i="13"/>
  <c r="G25" i="8"/>
  <c r="J24" i="13" l="1"/>
  <c r="G30" i="13" s="1"/>
  <c r="G28" i="12"/>
  <c r="G24" i="11"/>
  <c r="S14" i="2" l="1"/>
  <c r="G45" i="2" l="1"/>
  <c r="J14" i="10" l="1"/>
  <c r="G30" i="2" l="1"/>
  <c r="G31" i="2" s="1"/>
  <c r="G32" i="2" s="1"/>
  <c r="G33" i="2" s="1"/>
  <c r="O17" i="2"/>
  <c r="O18" i="2" s="1"/>
  <c r="O19" i="2" s="1"/>
  <c r="G17" i="2"/>
  <c r="G18" i="2" s="1"/>
  <c r="G19" i="2" s="1"/>
  <c r="O5" i="2"/>
  <c r="O6" i="2" s="1"/>
  <c r="G5" i="2"/>
  <c r="G6" i="2" s="1"/>
  <c r="G74" i="10" l="1"/>
  <c r="R50" i="10"/>
  <c r="J50" i="10"/>
  <c r="G44" i="10"/>
  <c r="P43" i="10"/>
  <c r="Q43" i="10" s="1"/>
  <c r="J37" i="10"/>
  <c r="G34" i="10"/>
  <c r="P33" i="10"/>
  <c r="Q33" i="10" s="1"/>
  <c r="I29" i="10"/>
  <c r="R27" i="10"/>
  <c r="J27" i="10"/>
  <c r="G21" i="10"/>
  <c r="P20" i="10"/>
  <c r="Q20" i="10" s="1"/>
  <c r="H11" i="10"/>
  <c r="G11" i="10"/>
  <c r="P10" i="10"/>
  <c r="P12" i="10" s="1"/>
  <c r="J4" i="10"/>
  <c r="I4" i="10"/>
  <c r="R43" i="10" l="1"/>
  <c r="P45" i="10"/>
  <c r="P75" i="10"/>
  <c r="I11" i="10"/>
  <c r="Q11" i="10"/>
  <c r="Q10" i="10"/>
  <c r="R10" i="10" s="1"/>
  <c r="R20" i="10"/>
  <c r="P22" i="10"/>
  <c r="R33" i="10"/>
  <c r="P35" i="10"/>
  <c r="Q12" i="10" l="1"/>
  <c r="R11" i="10"/>
  <c r="H14" i="10" s="1"/>
  <c r="I14" i="10" l="1"/>
  <c r="H21" i="10"/>
  <c r="R12" i="10"/>
  <c r="I21" i="10" l="1"/>
  <c r="R21" i="10" s="1"/>
  <c r="R22" i="10" s="1"/>
  <c r="Q21" i="10"/>
  <c r="H27" i="10" l="1"/>
  <c r="Q22" i="10"/>
  <c r="I27" i="10" l="1"/>
  <c r="H34" i="10"/>
  <c r="I34" i="10" l="1"/>
  <c r="R34" i="10" s="1"/>
  <c r="R35" i="10" s="1"/>
  <c r="Q34" i="10"/>
  <c r="H37" i="10" l="1"/>
  <c r="Q35" i="10"/>
  <c r="I37" i="10" l="1"/>
  <c r="H44" i="10"/>
  <c r="I44" i="10" l="1"/>
  <c r="R44" i="10" s="1"/>
  <c r="R45" i="10" s="1"/>
  <c r="Q44" i="10"/>
  <c r="H50" i="10" l="1"/>
  <c r="Q45" i="10"/>
  <c r="I50" i="10" l="1"/>
  <c r="H74" i="10"/>
  <c r="Q74" i="10" s="1"/>
  <c r="H80" i="10" s="1"/>
  <c r="H87" i="10" l="1"/>
  <c r="I80" i="10"/>
  <c r="I74" i="10"/>
  <c r="Q87" i="10" l="1"/>
  <c r="Q88" i="10" s="1"/>
  <c r="I87" i="10"/>
  <c r="R87" i="10" s="1"/>
  <c r="R74" i="10"/>
  <c r="R75" i="10" s="1"/>
  <c r="Q75" i="10"/>
  <c r="H90" i="10" l="1"/>
  <c r="R88" i="10"/>
  <c r="H97" i="10" l="1"/>
  <c r="Q97" i="10" s="1"/>
  <c r="I90" i="10"/>
  <c r="I97" i="10" s="1"/>
  <c r="R97" i="10" s="1"/>
  <c r="R98" i="10" s="1"/>
  <c r="H103" i="10" l="1"/>
  <c r="Q98" i="10"/>
  <c r="H114" i="10" l="1"/>
  <c r="Q114" i="10" s="1"/>
  <c r="I103" i="10"/>
  <c r="I114" i="10" l="1"/>
  <c r="R114" i="10" s="1"/>
  <c r="R115" i="10" s="1"/>
  <c r="H117" i="10" l="1"/>
  <c r="Q115" i="10"/>
  <c r="I117" i="10" l="1"/>
  <c r="H123" i="10"/>
  <c r="Q123" i="10" l="1"/>
  <c r="I123" i="10"/>
  <c r="R123" i="10" s="1"/>
  <c r="R124" i="10" s="1"/>
  <c r="Q124" i="10" l="1"/>
  <c r="H129" i="10"/>
  <c r="H136" i="10" l="1"/>
  <c r="I129" i="10"/>
  <c r="I136" i="10" l="1"/>
  <c r="R136" i="10" s="1"/>
  <c r="R137" i="10" s="1"/>
  <c r="Q136" i="10"/>
  <c r="H139" i="10" l="1"/>
  <c r="Q137" i="10"/>
  <c r="I139" i="10" l="1"/>
  <c r="H146" i="10"/>
  <c r="Q146" i="10" l="1"/>
  <c r="I146" i="10"/>
  <c r="R146" i="10" s="1"/>
  <c r="R147" i="10" s="1"/>
  <c r="Q147" i="10" l="1"/>
  <c r="H152" i="10"/>
  <c r="H159" i="10" l="1"/>
  <c r="I152" i="10"/>
  <c r="Q159" i="10" l="1"/>
  <c r="I159" i="10"/>
  <c r="R159" i="10" s="1"/>
  <c r="R160" i="10" s="1"/>
  <c r="H162" i="10" l="1"/>
  <c r="Q160" i="10"/>
  <c r="I162" i="10" l="1"/>
  <c r="H169" i="10"/>
  <c r="Q169" i="10" l="1"/>
  <c r="I169" i="10"/>
  <c r="R169" i="10" s="1"/>
  <c r="R170" i="10" s="1"/>
  <c r="Q170" i="10" l="1"/>
  <c r="H175" i="10"/>
  <c r="H182" i="10" l="1"/>
  <c r="I175" i="10"/>
  <c r="I182" i="10" l="1"/>
  <c r="R182" i="10" s="1"/>
  <c r="R183" i="10" s="1"/>
  <c r="Q182" i="10"/>
  <c r="H185" i="10" l="1"/>
  <c r="Q183" i="10"/>
  <c r="I185" i="10" l="1"/>
  <c r="H192" i="10"/>
  <c r="Q192" i="10" l="1"/>
  <c r="I192" i="10"/>
  <c r="R192" i="10" s="1"/>
  <c r="R193" i="10" s="1"/>
  <c r="Q193" i="10" l="1"/>
  <c r="H198" i="10"/>
  <c r="H205" i="10" l="1"/>
  <c r="I198" i="10"/>
  <c r="Q205" i="10" l="1"/>
  <c r="I205" i="10"/>
  <c r="R205" i="10" s="1"/>
  <c r="R206" i="10" s="1"/>
  <c r="H208" i="10" l="1"/>
  <c r="Q206" i="10"/>
  <c r="I208" i="10" l="1"/>
  <c r="H215" i="10"/>
  <c r="Q215" i="10" l="1"/>
  <c r="I215" i="10"/>
  <c r="R215" i="10" s="1"/>
  <c r="R216" i="10" s="1"/>
  <c r="Q216" i="10" l="1"/>
  <c r="H221" i="10"/>
  <c r="H228" i="10" l="1"/>
  <c r="I221" i="10"/>
  <c r="Q228" i="10" l="1"/>
  <c r="I228" i="10"/>
  <c r="R228" i="10" s="1"/>
  <c r="R229" i="10" s="1"/>
  <c r="H231" i="10" l="1"/>
  <c r="Q229" i="10"/>
  <c r="I231" i="10" l="1"/>
  <c r="H238" i="10"/>
  <c r="Q238" i="10" l="1"/>
  <c r="I238" i="10"/>
  <c r="R238" i="10" s="1"/>
  <c r="R239" i="10" s="1"/>
  <c r="Q239" i="10" l="1"/>
  <c r="H244" i="10"/>
  <c r="I244" i="10" l="1"/>
  <c r="H251" i="10"/>
  <c r="Q251" i="10" l="1"/>
  <c r="I251" i="10"/>
  <c r="R251" i="10" s="1"/>
  <c r="R252" i="10" s="1"/>
  <c r="H254" i="10" l="1"/>
  <c r="Q252" i="10"/>
  <c r="H261" i="10" l="1"/>
  <c r="I254" i="10"/>
  <c r="Q261" i="10" l="1"/>
  <c r="I261" i="10"/>
  <c r="R261" i="10" s="1"/>
  <c r="R262" i="10" s="1"/>
  <c r="Q262" i="10" l="1"/>
  <c r="H267" i="10"/>
  <c r="H274" i="10" l="1"/>
  <c r="Q274" i="10" s="1"/>
  <c r="I267" i="10"/>
  <c r="I274" i="10" s="1"/>
  <c r="R274" i="10" s="1"/>
  <c r="R275" i="10" s="1"/>
  <c r="H277" i="10" l="1"/>
  <c r="Q275" i="10"/>
  <c r="H284" i="10" l="1"/>
  <c r="I277" i="10"/>
  <c r="Q284" i="10" l="1"/>
  <c r="I284" i="10"/>
  <c r="R284" i="10" s="1"/>
  <c r="R285" i="10" s="1"/>
  <c r="Q285" i="10" l="1"/>
  <c r="H290" i="10"/>
  <c r="H297" i="10" l="1"/>
  <c r="Q297" i="10" s="1"/>
  <c r="I290" i="10"/>
  <c r="I297" i="10" s="1"/>
  <c r="R297" i="10" s="1"/>
  <c r="R298" i="10" s="1"/>
  <c r="H300" i="10" l="1"/>
  <c r="Q298" i="10"/>
  <c r="H307" i="10" l="1"/>
  <c r="Q307" i="10" s="1"/>
  <c r="I300" i="10"/>
  <c r="I307" i="10" s="1"/>
  <c r="R307" i="10" s="1"/>
  <c r="R308" i="10" s="1"/>
  <c r="Q308" i="10" l="1"/>
  <c r="H313" i="10"/>
  <c r="I313" i="10" l="1"/>
  <c r="I320" i="10" s="1"/>
  <c r="R320" i="10" s="1"/>
  <c r="R321" i="10" s="1"/>
  <c r="H320" i="10"/>
  <c r="Q320" i="10" s="1"/>
  <c r="H323" i="10" l="1"/>
  <c r="Q321" i="10"/>
  <c r="H330" i="10" l="1"/>
  <c r="Q330" i="10" s="1"/>
  <c r="I323" i="10"/>
  <c r="I330" i="10" s="1"/>
  <c r="R330" i="10" s="1"/>
  <c r="R331" i="10" s="1"/>
  <c r="H336" i="10" l="1"/>
  <c r="Q331" i="10"/>
  <c r="I336" i="10" l="1"/>
  <c r="I346" i="10" s="1"/>
  <c r="R346" i="10" s="1"/>
  <c r="R347" i="10" s="1"/>
  <c r="H346" i="10"/>
  <c r="Q346" i="10" s="1"/>
  <c r="H349" i="10" l="1"/>
  <c r="Q347" i="10"/>
  <c r="H354" i="10" l="1"/>
  <c r="Q354" i="10" s="1"/>
  <c r="I349" i="10"/>
  <c r="I354" i="10" s="1"/>
  <c r="R354" i="10" s="1"/>
  <c r="R355" i="10" s="1"/>
  <c r="Q355" i="10" l="1"/>
  <c r="H360" i="10"/>
  <c r="H367" i="10" l="1"/>
  <c r="Q367" i="10" s="1"/>
  <c r="Q368" i="10" s="1"/>
  <c r="I360" i="10"/>
  <c r="I367" i="10" s="1"/>
  <c r="R367" i="10" s="1"/>
  <c r="R368" i="10" s="1"/>
  <c r="A149" i="10"/>
  <c r="A218" i="10"/>
  <c r="A126" i="10"/>
  <c r="A357" i="10"/>
  <c r="A100" i="10"/>
  <c r="A310" i="10"/>
  <c r="A24" i="10"/>
  <c r="A1" i="10"/>
  <c r="A264" i="10"/>
  <c r="A287" i="10"/>
  <c r="A47" i="10"/>
  <c r="A195" i="10"/>
  <c r="A172" i="10"/>
  <c r="A241" i="10"/>
  <c r="A77" i="10"/>
  <c r="A333" i="10"/>
</calcChain>
</file>

<file path=xl/sharedStrings.xml><?xml version="1.0" encoding="utf-8"?>
<sst xmlns="http://schemas.openxmlformats.org/spreadsheetml/2006/main" count="1210" uniqueCount="344">
  <si>
    <t>XF/FG]\ GFD vo</t>
  </si>
  <si>
    <t>VPG\</t>
  </si>
  <si>
    <t>5ZT SZ[, U|Fg8</t>
  </si>
  <si>
    <t>S],</t>
  </si>
  <si>
    <t>S,:8Z vo</t>
  </si>
  <si>
    <t>0FI; SM0vo</t>
  </si>
  <si>
    <t>TF,]SMvo</t>
  </si>
  <si>
    <t>S50J\H</t>
  </si>
  <si>
    <r>
      <rPr>
        <sz val="20"/>
        <color rgb="FF0070C0"/>
        <rFont val="LMG-Arun"/>
      </rPr>
      <t>;FDFgI s HGZ, f BFTFJCL</t>
    </r>
    <r>
      <rPr>
        <sz val="11"/>
        <color rgb="FF0070C0"/>
        <rFont val="LMG-Arun"/>
      </rPr>
      <t xml:space="preserve"> </t>
    </r>
  </si>
  <si>
    <t>TFZLB</t>
  </si>
  <si>
    <r>
      <t>ZMHD[/</t>
    </r>
    <r>
      <rPr>
        <b/>
        <sz val="14"/>
        <color rgb="FF002060"/>
        <rFont val="Calibri"/>
        <family val="2"/>
        <scheme val="minor"/>
      </rPr>
      <t xml:space="preserve"> </t>
    </r>
    <r>
      <rPr>
        <b/>
        <sz val="14"/>
        <color rgb="FF002060"/>
        <rFont val="LMG-Arun"/>
      </rPr>
      <t>5FG]\</t>
    </r>
  </si>
  <si>
    <t>lJUT</t>
  </si>
  <si>
    <t>HDF</t>
  </si>
  <si>
    <t>pWFZ</t>
  </si>
  <si>
    <r>
      <t>HDF</t>
    </r>
    <r>
      <rPr>
        <b/>
        <sz val="14"/>
        <color rgb="FF002060"/>
        <rFont val="Calibri"/>
        <family val="2"/>
        <scheme val="minor"/>
      </rPr>
      <t xml:space="preserve"> </t>
    </r>
    <r>
      <rPr>
        <b/>
        <sz val="14"/>
        <color rgb="FF002060"/>
        <rFont val="LMG-Arun"/>
      </rPr>
      <t>AFSL</t>
    </r>
  </si>
  <si>
    <r>
      <t>pWFZ</t>
    </r>
    <r>
      <rPr>
        <b/>
        <sz val="14"/>
        <color rgb="FF002060"/>
        <rFont val="Calibri"/>
        <family val="2"/>
        <scheme val="minor"/>
      </rPr>
      <t xml:space="preserve"> </t>
    </r>
    <r>
      <rPr>
        <b/>
        <sz val="14"/>
        <color rgb="FF002060"/>
        <rFont val="LMG-Arun"/>
      </rPr>
      <t>AFSL</t>
    </r>
  </si>
  <si>
    <t>zL p30TL l;,S</t>
  </si>
  <si>
    <t>zL UF|g8 HDF</t>
  </si>
  <si>
    <t>A\W l;,S</t>
  </si>
  <si>
    <t>VFJSGL lJUT</t>
  </si>
  <si>
    <t>5CM\R G\\AZ VG[ TFZLB</t>
  </si>
  <si>
    <t>R[S G\ TFZLB 0LP0LPG\ TFZLB</t>
  </si>
  <si>
    <t>JUL"SZ6 ZHLPGM 5FG G\</t>
  </si>
  <si>
    <t>ZMS0</t>
  </si>
  <si>
    <t>A[gS</t>
  </si>
  <si>
    <t>S]], ZSD</t>
  </si>
  <si>
    <t>JFpRZ G\\AZ VG[ TFZLB</t>
  </si>
  <si>
    <t xml:space="preserve">R[S G\ TFZLB </t>
  </si>
  <si>
    <t>SM&gt; GF6F\SLI BR" SZ[, GYL</t>
  </si>
  <si>
    <t>zL A\W l;,S</t>
  </si>
  <si>
    <t>zL S],</t>
  </si>
  <si>
    <t>SMGF TZOYL D/L</t>
  </si>
  <si>
    <t>0L0LqR[S G\AZ   TFZLB</t>
  </si>
  <si>
    <t>A[\SG]\ GFD</t>
  </si>
  <si>
    <t>ZLDFS";</t>
  </si>
  <si>
    <t>ZSD</t>
  </si>
  <si>
    <t>A[\SDF\ HDF SIF"GL lJUT</t>
  </si>
  <si>
    <t>U|Fg8 HDF\</t>
  </si>
  <si>
    <t>SSA</t>
  </si>
  <si>
    <t>R[SGL ZSD</t>
  </si>
  <si>
    <t>R[S J8FjIF\ TFZLB</t>
  </si>
  <si>
    <t>X[ZM</t>
  </si>
  <si>
    <t>D]PlXPGL ;CL ALPVFZP;L4 ;LVFZP;L    GL ;CL</t>
  </si>
  <si>
    <t>lA,GL lJUT</t>
  </si>
  <si>
    <t>S5FT</t>
  </si>
  <si>
    <t>HyYM</t>
  </si>
  <si>
    <r>
      <t>JFpRZ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G\AZ</t>
    </r>
  </si>
  <si>
    <r>
      <t>AL,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G\AZ</t>
    </r>
  </si>
  <si>
    <r>
      <t>AL,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lJUT</t>
    </r>
  </si>
  <si>
    <r>
      <t>AL,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SMGF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TZOYL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D/[,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K[</t>
    </r>
  </si>
  <si>
    <r>
      <t>AL,GL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ZSD</t>
    </r>
  </si>
  <si>
    <r>
      <t>R]SJJFGL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YTL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RMbBL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ZSD</t>
    </r>
  </si>
  <si>
    <r>
      <t>D\H]Z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SZGFZGL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;CL</t>
    </r>
  </si>
  <si>
    <r>
      <t>AL,GL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TFZLB</t>
    </r>
  </si>
  <si>
    <t>H[GF TZO[6DF\ R[S ,bIM T[G]\ GFD TYF S&gt; AFAT[ R[S ,bIM T[</t>
  </si>
  <si>
    <t>lJnFYL" A]S 0L5M V[g0 h[ZMÙ</t>
  </si>
  <si>
    <t>HFJS GLlJUT</t>
  </si>
  <si>
    <t>zL BR"BFT[</t>
  </si>
  <si>
    <t>zL jIFHGF GF6F\ HDF\</t>
  </si>
  <si>
    <t>zL jIFHGF GF6F\\ HDF</t>
  </si>
  <si>
    <r>
      <t>U|Fg8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OF/J6L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VFN[X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G\AZ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TFZLB</t>
    </r>
  </si>
  <si>
    <r>
      <t>R[Sq0=FO8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G\AZ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TFZLB A[\SG]\ GFD</t>
    </r>
  </si>
  <si>
    <r>
      <t>SMG[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OF/J[,</t>
    </r>
  </si>
  <si>
    <r>
      <t>BR[",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ZSD</t>
    </r>
  </si>
  <si>
    <r>
      <t>ART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ZC[,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U|Fg8</t>
    </r>
  </si>
  <si>
    <r>
      <t>SIF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SFD[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D?IM</t>
    </r>
  </si>
  <si>
    <r>
      <t>HDF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SIF"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TFZLB</t>
    </r>
  </si>
  <si>
    <r>
      <t>HDF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YIF</t>
    </r>
    <r>
      <rPr>
        <b/>
        <sz val="14"/>
        <color rgb="FF7030A0"/>
        <rFont val="Calibri"/>
        <family val="2"/>
        <scheme val="minor"/>
      </rPr>
      <t xml:space="preserve"> </t>
    </r>
    <r>
      <rPr>
        <b/>
        <sz val="14"/>
        <color rgb="FF7030A0"/>
        <rFont val="LMG-Arun"/>
      </rPr>
      <t>TFZLB</t>
    </r>
  </si>
  <si>
    <t>AF/D[/M D8ZLI&lt;;GF R]SjIF</t>
  </si>
  <si>
    <t>:JrKTF ;FDFG VG[ ;OF&gt;SFD 5[8 R]SjIF\ JFPD]HA</t>
  </si>
  <si>
    <t>;OF&gt;SFD DH}ZL</t>
  </si>
  <si>
    <t>:JrKTF U|Fg8 HDF</t>
  </si>
  <si>
    <t>AF/D[/M U|Fg8</t>
  </si>
  <si>
    <t>AF/D[/M D8ZLI&lt;;</t>
  </si>
  <si>
    <t>XF/F :JrKTF  U|Fg8</t>
  </si>
  <si>
    <t>JF,L;\D[,G U|Fg8</t>
  </si>
  <si>
    <t>&gt;g8ZG[8 U|Fg8</t>
  </si>
  <si>
    <t>5|7F U|Fg8</t>
  </si>
  <si>
    <t>O:8V[&gt;0 AMS; U|Fg8</t>
  </si>
  <si>
    <t>D]lXV[ SZ[, 5NZ BR"GF  GF6F\ 5ZT ,LWF</t>
  </si>
  <si>
    <t>5|J[;Mt;J U|Fg8</t>
  </si>
  <si>
    <t>l;lJ, U|Fg8</t>
  </si>
  <si>
    <t xml:space="preserve">:JrKTF ;FDFG </t>
  </si>
  <si>
    <r>
      <t>jIFH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 xml:space="preserve">HDF   </t>
    </r>
  </si>
  <si>
    <t>zL lJnFYL 8=[0;"</t>
  </si>
  <si>
    <t xml:space="preserve">JF,L;\D[,G ;ZEZF BR" </t>
  </si>
  <si>
    <t>&amp;q!</t>
  </si>
  <si>
    <t>13/09/2023</t>
  </si>
  <si>
    <t>;J"lXÙF VlEIFG lDXG B[0F</t>
  </si>
  <si>
    <t>XF/FG\] GFD vo</t>
  </si>
  <si>
    <t>V\A[5]ZF</t>
  </si>
  <si>
    <t>JFpRZ G\AZvo</t>
  </si>
  <si>
    <t>VFRFI"zLG]\ GFD vo</t>
  </si>
  <si>
    <r>
      <t>58[, ZFULGFA[G 5[D</t>
    </r>
    <r>
      <rPr>
        <sz val="16"/>
        <color theme="1"/>
        <rFont val="TERAFONT-CHANDAN"/>
      </rPr>
      <t>Ò</t>
    </r>
    <r>
      <rPr>
        <sz val="16"/>
        <color theme="1"/>
        <rFont val="LMG-Arun"/>
      </rPr>
      <t>EF&gt;</t>
    </r>
  </si>
  <si>
    <t>TFZLBvo</t>
  </si>
  <si>
    <t>S], ZSD</t>
  </si>
  <si>
    <t>ÌD</t>
  </si>
  <si>
    <t>lA,    G\AZ</t>
  </si>
  <si>
    <r>
      <t>AL,</t>
    </r>
    <r>
      <rPr>
        <sz val="14"/>
        <color rgb="FF7030A0"/>
        <rFont val="Calibri"/>
        <family val="2"/>
        <scheme val="minor"/>
      </rPr>
      <t xml:space="preserve"> </t>
    </r>
    <r>
      <rPr>
        <sz val="14"/>
        <color rgb="FF7030A0"/>
        <rFont val="LMG-Arun"/>
      </rPr>
      <t>lJUT</t>
    </r>
  </si>
  <si>
    <r>
      <t>AL,</t>
    </r>
    <r>
      <rPr>
        <sz val="14"/>
        <color rgb="FF7030A0"/>
        <rFont val="Calibri"/>
        <family val="2"/>
        <scheme val="minor"/>
      </rPr>
      <t xml:space="preserve"> </t>
    </r>
    <r>
      <rPr>
        <sz val="14"/>
        <color rgb="FF7030A0"/>
        <rFont val="LMG-Arun"/>
      </rPr>
      <t>SMGF</t>
    </r>
    <r>
      <rPr>
        <sz val="14"/>
        <color rgb="FF7030A0"/>
        <rFont val="Calibri"/>
        <family val="2"/>
        <scheme val="minor"/>
      </rPr>
      <t xml:space="preserve"> </t>
    </r>
    <r>
      <rPr>
        <sz val="14"/>
        <color rgb="FF7030A0"/>
        <rFont val="LMG-Arun"/>
      </rPr>
      <t>TZOYL</t>
    </r>
    <r>
      <rPr>
        <sz val="14"/>
        <color rgb="FF7030A0"/>
        <rFont val="Calibri"/>
        <family val="2"/>
        <scheme val="minor"/>
      </rPr>
      <t xml:space="preserve"> </t>
    </r>
    <r>
      <rPr>
        <sz val="14"/>
        <color rgb="FF7030A0"/>
        <rFont val="LMG-Arun"/>
      </rPr>
      <t>D/[,</t>
    </r>
    <r>
      <rPr>
        <sz val="14"/>
        <color rgb="FF7030A0"/>
        <rFont val="Calibri"/>
        <family val="2"/>
        <scheme val="minor"/>
      </rPr>
      <t xml:space="preserve"> </t>
    </r>
    <r>
      <rPr>
        <sz val="14"/>
        <color rgb="FF7030A0"/>
        <rFont val="LMG-Arun"/>
      </rPr>
      <t>K[</t>
    </r>
  </si>
  <si>
    <t>lA,GL ZSD</t>
  </si>
  <si>
    <t>lZDFS;"</t>
  </si>
  <si>
    <t>ZFWFA[G lSZL8EF&gt; 5ZDFZ</t>
  </si>
  <si>
    <t>;J" lXÙF VlEIFG lDXG B[0F</t>
  </si>
  <si>
    <t>22/03/2024</t>
  </si>
  <si>
    <t>5q!</t>
  </si>
  <si>
    <t>DF/D[/M D8ZLI&lt;;</t>
  </si>
  <si>
    <t>VFZTL HGZ, V[g0 5|lJhG :8M;"</t>
  </si>
  <si>
    <t>5qZ</t>
  </si>
  <si>
    <t>26/01/2024</t>
  </si>
  <si>
    <t>5q#</t>
  </si>
  <si>
    <t>15/03/2024</t>
  </si>
  <si>
    <t>%,ldA\U ;FDFG</t>
  </si>
  <si>
    <t>EUJTL CF0"J[Z TYF ;[GL8[XG</t>
  </si>
  <si>
    <t>SM;D</t>
  </si>
  <si>
    <t>lA5LGS]DFZ ;]Z[XR\§ ZFJ,</t>
  </si>
  <si>
    <t>30/3/2024</t>
  </si>
  <si>
    <t>;J" lXÙF VlEIFG v B[0F</t>
  </si>
  <si>
    <t>5lZlXQ8 vo !_</t>
  </si>
  <si>
    <r>
      <t xml:space="preserve">BOB  </t>
    </r>
    <r>
      <rPr>
        <b/>
        <sz val="16"/>
        <color theme="1"/>
        <rFont val="LMG-Arun"/>
      </rPr>
      <t>BFTF G\AZ vo</t>
    </r>
  </si>
  <si>
    <t>BR"</t>
  </si>
  <si>
    <t>jIFHqJ8FJ</t>
  </si>
  <si>
    <r>
      <t xml:space="preserve">;DU| lXÙF B[0F v </t>
    </r>
    <r>
      <rPr>
        <b/>
        <sz val="22"/>
        <color rgb="FF7030A0"/>
        <rFont val="Angsana New"/>
        <family val="1"/>
      </rPr>
      <t>SMCE</t>
    </r>
    <r>
      <rPr>
        <b/>
        <sz val="20"/>
        <color rgb="FF7030A0"/>
        <rFont val="Angsana New"/>
        <family val="1"/>
      </rPr>
      <t xml:space="preserve"> </t>
    </r>
  </si>
  <si>
    <t>5lZlXQ8 vo )</t>
  </si>
  <si>
    <t>A[\S ;FY[ D[/J6]\  v  ZLSg;Ll,V[XG</t>
  </si>
  <si>
    <t>! s´f</t>
  </si>
  <si>
    <t>!</t>
  </si>
  <si>
    <r>
      <t>R[S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&gt;:I]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YIF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CMI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5Z\T]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J8FJ[,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G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CMI</t>
    </r>
  </si>
  <si>
    <t>Z</t>
  </si>
  <si>
    <r>
      <t>A[\S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DF\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HDF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GM\W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Y&gt;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CMI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5Z\T]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ZMHD[/DF\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NXF"jI]\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G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CMI</t>
    </r>
  </si>
  <si>
    <t xml:space="preserve">                                        S],</t>
  </si>
  <si>
    <t>svf</t>
  </si>
  <si>
    <t>AFN SZJ]\</t>
  </si>
  <si>
    <r>
      <t>A[\SDF\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DMS,JFDF\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VFJ[,L</t>
    </r>
    <r>
      <rPr>
        <sz val="14"/>
        <color rgb="FF002060"/>
        <rFont val="Calibri"/>
        <family val="2"/>
        <scheme val="minor"/>
      </rPr>
      <t xml:space="preserve"> </t>
    </r>
    <r>
      <rPr>
        <sz val="14"/>
        <color rgb="FF002060"/>
        <rFont val="LMG-Arun"/>
      </rPr>
      <t>ZMS0 S[ R[S A[\S BFTFDF\ HDF G Y&gt; CMI</t>
    </r>
  </si>
  <si>
    <t>A[\S BFTFDF\ pWFZJFDF\ VFJ[, RFlH"; 5Z\T] T[ ZMHD[/DF\ p&lt;,[B YI[, G CMI</t>
  </si>
  <si>
    <t xml:space="preserve">                                              S],</t>
  </si>
  <si>
    <t>A[8FJF0FGF D]JF0FP5|FPXF/F</t>
  </si>
  <si>
    <t>AFlZVFGF D]JF0F</t>
  </si>
  <si>
    <t>11590100004295</t>
  </si>
  <si>
    <r>
      <rPr>
        <sz val="18"/>
        <color theme="1"/>
        <rFont val="Algerian"/>
        <family val="5"/>
      </rPr>
      <t xml:space="preserve">SMCE </t>
    </r>
    <r>
      <rPr>
        <sz val="18"/>
        <color theme="1"/>
        <rFont val="LMG-Arun"/>
      </rPr>
      <t>A[8FJF0FGF D]JF0FP5|FPXF/F</t>
    </r>
  </si>
  <si>
    <t>02/04/2024 TO 30/04/2024</t>
  </si>
  <si>
    <t>;eI ;lRJ §FZF :JrKTF U|Fg84AF/D[/M U|Fg8 VG[ JF,L;\D[,G U|Fg8GF GF6F\ p5F0IF</t>
  </si>
  <si>
    <t>D]bI lXÙS[ GF6F\ p5F0L CFY 5Z ,LWF</t>
  </si>
  <si>
    <t>JF,L ;\D[,G ;ZEZFBR" 5[8[R]SjIF</t>
  </si>
  <si>
    <r>
      <t xml:space="preserve">SMCE </t>
    </r>
    <r>
      <rPr>
        <sz val="12"/>
        <color theme="1"/>
        <rFont val="LMG-Arun"/>
      </rPr>
      <t>A[8FJF0FGF D]JF0F</t>
    </r>
  </si>
  <si>
    <r>
      <t xml:space="preserve">BOB </t>
    </r>
    <r>
      <rPr>
        <b/>
        <sz val="12"/>
        <color theme="1"/>
        <rFont val="LMG-Arun"/>
      </rPr>
      <t>V\lT;Z</t>
    </r>
    <r>
      <rPr>
        <b/>
        <sz val="12"/>
        <color theme="1"/>
        <rFont val="Calibri"/>
        <family val="2"/>
      </rPr>
      <t xml:space="preserve"> </t>
    </r>
    <r>
      <rPr>
        <b/>
        <sz val="12"/>
        <color theme="1"/>
        <rFont val="LMG-Arun"/>
      </rPr>
      <t>jIFH</t>
    </r>
  </si>
  <si>
    <r>
      <t xml:space="preserve">BOB </t>
    </r>
    <r>
      <rPr>
        <sz val="12"/>
        <color theme="1"/>
        <rFont val="LMG-Arun"/>
      </rPr>
      <t>V\lT;Z</t>
    </r>
  </si>
  <si>
    <t>;eI ;lRJ lN5SS]DFZPJLP58[,</t>
  </si>
  <si>
    <t>C;D]BEF&gt; D\U/EF&gt; ClZHG</t>
  </si>
  <si>
    <t>XMEGFA[G lN5l;\C ;M,\SL</t>
  </si>
  <si>
    <t>A[8FJF0FGFD]JF0FP5|FPXF/F</t>
  </si>
  <si>
    <t>58[, lN5SS]DFZ lJõ,EF&gt;</t>
  </si>
  <si>
    <t>S,Z45|F&gt;DZPZM,Z</t>
  </si>
  <si>
    <t>lT~5lT 8=[l0\U S\5GL</t>
  </si>
  <si>
    <t>S,ZSFD DH]ZL</t>
  </si>
  <si>
    <t>VHLTl;\C G8JZl;\C ;M,\SL</t>
  </si>
  <si>
    <t>;OF&gt;SFD 5[8[ C;D]BEF&gt;G[ JFPD]HA</t>
  </si>
  <si>
    <t>JF,L;\D[,G ;ZEZF BR" 5[8[ XMEGFA[GG[ JFPD]HA</t>
  </si>
  <si>
    <t>5|J[XMt;J U|Fg8</t>
  </si>
  <si>
    <t>O:8 V[&gt;0 AMS; U|Fg8</t>
  </si>
  <si>
    <r>
      <t xml:space="preserve">;DU| lXÙF B[0F v </t>
    </r>
    <r>
      <rPr>
        <b/>
        <sz val="22"/>
        <color rgb="FF7030A0"/>
        <rFont val="Angsana New"/>
        <family val="1"/>
        <charset val="222"/>
      </rPr>
      <t>SMCE</t>
    </r>
  </si>
  <si>
    <t xml:space="preserve">SÙFV[ X~GL l;,S ~FP  </t>
  </si>
  <si>
    <r>
      <t>JØ" NZdIFG D/[, U|Fg8 ~FP</t>
    </r>
    <r>
      <rPr>
        <sz val="16"/>
        <color rgb="FF000000"/>
        <rFont val="Calibri"/>
        <family val="2"/>
        <scheme val="minor"/>
      </rPr>
      <t xml:space="preserve"> </t>
    </r>
  </si>
  <si>
    <t xml:space="preserve">S], U|Fg8 ~FP </t>
  </si>
  <si>
    <t>TYF U|Fg8 5{SL S], BR" ~FP</t>
  </si>
  <si>
    <t xml:space="preserve">YI[, K[P  VUFpGF JØ" ;lCT #!DL DFR"GF ZMH ART ~FP </t>
  </si>
  <si>
    <t xml:space="preserve">V[;PV[DP;LP. SÙFV[ HDF </t>
  </si>
  <si>
    <t xml:space="preserve">ZC[, K[P ;NZ VFJS TYF BR" lC;FAL Z[S0" 5ZYL BZF&gt; SZ[, K[PH[ VF5 ;FC[AzLG[ lJlNT </t>
  </si>
  <si>
    <t>05/05/2025    TO     31/05/2025</t>
  </si>
  <si>
    <t>zL lJnFYL" 8=[0;"G[ 5|J[XMt;J D8ZLI&lt;;GF lA, D]HA</t>
  </si>
  <si>
    <r>
      <rPr>
        <sz val="9"/>
        <color theme="1"/>
        <rFont val="Calibri"/>
        <family val="2"/>
        <scheme val="minor"/>
      </rPr>
      <t xml:space="preserve">BM  </t>
    </r>
    <r>
      <rPr>
        <sz val="9"/>
        <color theme="1"/>
        <rFont val="LMG-Arun"/>
      </rPr>
      <t>;]5ZAHFZG[ lA, D]HA</t>
    </r>
  </si>
  <si>
    <t>AMdA[ ;FJZ6LJF,FG[ lA, D]HA</t>
  </si>
  <si>
    <t>lÊQ6F GMJ[&lt;8L :8MZG[ lA, D]HA</t>
  </si>
  <si>
    <t>gI] UM5F, S8,ZL :8M;"G[ lA, D]HA</t>
  </si>
  <si>
    <t>AFIM D[l0S; C[&lt;YS[ZG[ lA, D]HA</t>
  </si>
  <si>
    <t>ClZ VMD HGZ, :8M;"G[ lA, D]HA</t>
  </si>
  <si>
    <t>25/06/24</t>
  </si>
  <si>
    <t>17/1/25</t>
  </si>
  <si>
    <t>26/1/25</t>
  </si>
  <si>
    <t>15/3/25</t>
  </si>
  <si>
    <t>10/06/2025      TO     23/06/2025</t>
  </si>
  <si>
    <t>24/06/2025</t>
  </si>
  <si>
    <t>5|J[XMt;J U|Fg8 HDF</t>
  </si>
  <si>
    <t>O:8 V[&gt;0 AMS; U|Fg8 HDF</t>
  </si>
  <si>
    <r>
      <t xml:space="preserve">BFTFG]\ GFD vo  </t>
    </r>
    <r>
      <rPr>
        <sz val="16"/>
        <color rgb="FFFF0066"/>
        <rFont val="LMG-Arun"/>
      </rPr>
      <t xml:space="preserve">5|J[XMt;J U|Fg8 </t>
    </r>
    <r>
      <rPr>
        <sz val="16"/>
        <color rgb="FFAE0258"/>
        <rFont val="LMG-Arun"/>
      </rPr>
      <t xml:space="preserve"> </t>
    </r>
    <r>
      <rPr>
        <sz val="16"/>
        <color theme="1"/>
        <rFont val="LMG-Arun"/>
      </rPr>
      <t xml:space="preserve">                                        JØ" vo  </t>
    </r>
    <r>
      <rPr>
        <sz val="16"/>
        <color rgb="FF7030A0"/>
        <rFont val="LMG-Arun"/>
      </rPr>
      <t>Z_Z5 v Z_Z&amp;</t>
    </r>
  </si>
  <si>
    <r>
      <t xml:space="preserve"> BFTFG]\ GFD vo </t>
    </r>
    <r>
      <rPr>
        <sz val="16"/>
        <color rgb="FFAE0258"/>
        <rFont val="LMG-Arun"/>
      </rPr>
      <t xml:space="preserve"> AF/D[/M U|Fg8  </t>
    </r>
    <r>
      <rPr>
        <sz val="16"/>
        <color theme="1"/>
        <rFont val="LMG-Arun"/>
      </rPr>
      <t xml:space="preserve">                                   JØ" vo  </t>
    </r>
    <r>
      <rPr>
        <sz val="16"/>
        <color rgb="FF7030A0"/>
        <rFont val="LMG-Arun"/>
      </rPr>
      <t>Z_Z5 v Z_Z&amp;</t>
    </r>
  </si>
  <si>
    <r>
      <t xml:space="preserve"> BFTFG]\ GFD vo  </t>
    </r>
    <r>
      <rPr>
        <sz val="16"/>
        <color rgb="FFFF0066"/>
        <rFont val="LMG-Arun"/>
      </rPr>
      <t>XF/F :JrKTF U|Fg8</t>
    </r>
    <r>
      <rPr>
        <sz val="16"/>
        <color rgb="FFAE0258"/>
        <rFont val="LMG-Arun"/>
      </rPr>
      <t xml:space="preserve"> </t>
    </r>
    <r>
      <rPr>
        <sz val="16"/>
        <color theme="1"/>
        <rFont val="LMG-Arun"/>
      </rPr>
      <t xml:space="preserve">                            JØ" vo </t>
    </r>
    <r>
      <rPr>
        <sz val="16"/>
        <color rgb="FF7030A0"/>
        <rFont val="LMG-Arun"/>
      </rPr>
      <t>Z_Z5 v Z_Z&amp;</t>
    </r>
  </si>
  <si>
    <r>
      <t xml:space="preserve"> BFTFG]\ GFD vo  </t>
    </r>
    <r>
      <rPr>
        <sz val="16"/>
        <color rgb="FFAE0258"/>
        <rFont val="LMG-Arun"/>
      </rPr>
      <t>&gt;g8ZG[8 U|Fg8</t>
    </r>
    <r>
      <rPr>
        <sz val="16"/>
        <color rgb="FFAE0258"/>
        <rFont val="Calibri Light"/>
        <family val="1"/>
        <scheme val="major"/>
      </rPr>
      <t xml:space="preserve"> </t>
    </r>
    <r>
      <rPr>
        <sz val="16"/>
        <color rgb="FFAE0258"/>
        <rFont val="LMG-Arun"/>
      </rPr>
      <t xml:space="preserve"> </t>
    </r>
    <r>
      <rPr>
        <sz val="16"/>
        <color theme="1"/>
        <rFont val="LMG-Arun"/>
      </rPr>
      <t xml:space="preserve">                                     JØ" vo </t>
    </r>
    <r>
      <rPr>
        <sz val="16"/>
        <color rgb="FF7030A0"/>
        <rFont val="LMG-Arun"/>
      </rPr>
      <t xml:space="preserve"> Z_Z5 v Z_Z&amp;</t>
    </r>
  </si>
  <si>
    <t>31/03/2026</t>
  </si>
  <si>
    <t xml:space="preserve">JFPG\ </t>
  </si>
  <si>
    <t xml:space="preserve"> lA, G\AZ</t>
  </si>
  <si>
    <t xml:space="preserve">A[gS £FZF  </t>
  </si>
  <si>
    <t xml:space="preserve">VMG,F&gt;G </t>
  </si>
  <si>
    <t>13/08/2025</t>
  </si>
  <si>
    <t>16/07/2025</t>
  </si>
  <si>
    <t>XF/F :JrKTF U|Fg8</t>
  </si>
  <si>
    <t>JF,L ;\D[,G U|Fg8</t>
  </si>
  <si>
    <t xml:space="preserve"> 5|7F U|Fg8 </t>
  </si>
  <si>
    <r>
      <t xml:space="preserve"> BFTFG]\ GFD vo  </t>
    </r>
    <r>
      <rPr>
        <sz val="16"/>
        <color rgb="FFAE0258"/>
        <rFont val="LMG-Arun"/>
      </rPr>
      <t xml:space="preserve"> O:8 V[&gt;0 AMS; U|Fg8 </t>
    </r>
    <r>
      <rPr>
        <sz val="16"/>
        <color rgb="FFAE0258"/>
        <rFont val="Calibri Light"/>
        <family val="1"/>
        <scheme val="major"/>
      </rPr>
      <t xml:space="preserve"> </t>
    </r>
    <r>
      <rPr>
        <sz val="16"/>
        <color rgb="FFAE0258"/>
        <rFont val="LMG-Arun"/>
      </rPr>
      <t xml:space="preserve"> </t>
    </r>
    <r>
      <rPr>
        <sz val="16"/>
        <color theme="1"/>
        <rFont val="LMG-Arun"/>
      </rPr>
      <t xml:space="preserve">                                      JØ" vo  </t>
    </r>
    <r>
      <rPr>
        <sz val="16"/>
        <color rgb="FF7030A0"/>
        <rFont val="LMG-Arun"/>
      </rPr>
      <t>Z_Z5 v Z_Z&amp;</t>
    </r>
  </si>
  <si>
    <r>
      <t xml:space="preserve">          BFTFG]\ GFD vo  </t>
    </r>
    <r>
      <rPr>
        <sz val="16"/>
        <color rgb="FFFF0066"/>
        <rFont val="LMG-Arun"/>
      </rPr>
      <t xml:space="preserve">JF,L ;\D[,G U|Fg8 </t>
    </r>
    <r>
      <rPr>
        <sz val="16"/>
        <color theme="1"/>
        <rFont val="LMG-Arun"/>
      </rPr>
      <t xml:space="preserve">                   JØ" vo  </t>
    </r>
    <r>
      <rPr>
        <sz val="16"/>
        <color rgb="FF7030A0"/>
        <rFont val="LMG-Arun"/>
      </rPr>
      <t>Z_Z5 v Z_Z&amp;</t>
    </r>
  </si>
  <si>
    <r>
      <t xml:space="preserve"> BFTFG]\ GFD vo  </t>
    </r>
    <r>
      <rPr>
        <sz val="16"/>
        <color rgb="FFFF0066"/>
        <rFont val="LMG-Arun"/>
      </rPr>
      <t>5|7F U|Fg8</t>
    </r>
    <r>
      <rPr>
        <sz val="16"/>
        <color theme="1"/>
        <rFont val="LMG-Arun"/>
      </rPr>
      <t xml:space="preserve">                                      JØ" vo  </t>
    </r>
    <r>
      <rPr>
        <sz val="16"/>
        <color rgb="FF660066"/>
        <rFont val="LMG-Arun"/>
      </rPr>
      <t>Z_Z5 v Z_Z&amp;</t>
    </r>
  </si>
  <si>
    <r>
      <t xml:space="preserve"> BFTFG]\ GFD vo </t>
    </r>
    <r>
      <rPr>
        <sz val="16"/>
        <color rgb="FFAE0258"/>
        <rFont val="LMG-Arun"/>
      </rPr>
      <t xml:space="preserve">    jIFH J8FJ                             </t>
    </r>
    <r>
      <rPr>
        <sz val="16"/>
        <color theme="1"/>
        <rFont val="LMG-Arun"/>
      </rPr>
      <t xml:space="preserve">  JØ" vo  </t>
    </r>
    <r>
      <rPr>
        <sz val="16"/>
        <color rgb="FF7030A0"/>
        <rFont val="LMG-Arun"/>
      </rPr>
      <t>Z_Z5 v Z_Z&amp;</t>
    </r>
  </si>
  <si>
    <r>
      <t xml:space="preserve">BFTFG]\ GFD vo  </t>
    </r>
    <r>
      <rPr>
        <sz val="16"/>
        <color rgb="FFFF3399"/>
        <rFont val="LMG-Arun"/>
      </rPr>
      <t>l;lJ, U|Fg8</t>
    </r>
    <r>
      <rPr>
        <sz val="16"/>
        <color rgb="FFFF0066"/>
        <rFont val="LMG-Arun"/>
      </rPr>
      <t xml:space="preserve"> </t>
    </r>
    <r>
      <rPr>
        <sz val="16"/>
        <color rgb="FFAE0258"/>
        <rFont val="LMG-Arun"/>
      </rPr>
      <t xml:space="preserve"> </t>
    </r>
    <r>
      <rPr>
        <sz val="16"/>
        <color theme="1"/>
        <rFont val="LMG-Arun"/>
      </rPr>
      <t xml:space="preserve">                                        JØ" vo  </t>
    </r>
    <r>
      <rPr>
        <sz val="16"/>
        <color rgb="FF7030A0"/>
        <rFont val="LMG-Arun"/>
      </rPr>
      <t>Z_Z5 v Z_Z&amp;</t>
    </r>
  </si>
  <si>
    <t>O:8 V[&gt;0 AMS; SL8GF R]SjIFPJFPD]</t>
  </si>
  <si>
    <t>5|J[XMt;J SL8GF R]SjIFPJFPD]</t>
  </si>
  <si>
    <t>29/07/2025</t>
  </si>
  <si>
    <t>24/07/2025</t>
  </si>
  <si>
    <t>20/12/2025</t>
  </si>
  <si>
    <t>5|7F D8ZLI&lt;;GF R]SjIFPJFPD]</t>
  </si>
  <si>
    <r>
      <t xml:space="preserve"> BFTFG]\ GFD vo  </t>
    </r>
    <r>
      <rPr>
        <sz val="16"/>
        <color rgb="FFAE0258"/>
        <rFont val="LMG-Arun"/>
      </rPr>
      <t xml:space="preserve">                   </t>
    </r>
    <r>
      <rPr>
        <sz val="16"/>
        <color rgb="FFAE0258"/>
        <rFont val="Calibri Light"/>
        <family val="1"/>
        <scheme val="major"/>
      </rPr>
      <t xml:space="preserve"> </t>
    </r>
    <r>
      <rPr>
        <sz val="16"/>
        <color rgb="FFAE0258"/>
        <rFont val="LMG-Arun"/>
      </rPr>
      <t xml:space="preserve"> </t>
    </r>
    <r>
      <rPr>
        <sz val="16"/>
        <color theme="1"/>
        <rFont val="LMG-Arun"/>
      </rPr>
      <t xml:space="preserve">                                      JØ" vo  </t>
    </r>
    <r>
      <rPr>
        <sz val="16"/>
        <color rgb="FF7030A0"/>
        <rFont val="LMG-Arun"/>
      </rPr>
      <t>Z_Z5 v Z_Z&amp;</t>
    </r>
  </si>
  <si>
    <t>;eI ;lRJ §FZF :JrKTF U|Fg845|J[XMt;J U|Fg8 VG[ O:8 V[&gt;0 AMS; U|Fg8GF GF6F\ p5F0IF</t>
  </si>
  <si>
    <t>2            02/07/2025</t>
  </si>
  <si>
    <t>104 02/07/2025</t>
  </si>
  <si>
    <t>lÌØF S8,ZLG[ lA, D]HA</t>
  </si>
  <si>
    <t>16/04/25</t>
  </si>
  <si>
    <t>14/06/25</t>
  </si>
  <si>
    <t>25/06/25</t>
  </si>
  <si>
    <t>1       09/06/2025</t>
  </si>
  <si>
    <t>103       09/06/2025</t>
  </si>
  <si>
    <t>AF/D[/M U|Fg8 HDF</t>
  </si>
  <si>
    <t>JF,L ;\D[,G U|Fg8 HDF</t>
  </si>
  <si>
    <t>zL lJnFYL" 8=[0;"G[ AF/D[/M D8ZLI&lt;;GF lA, D]HA</t>
  </si>
  <si>
    <t>15/07/25</t>
  </si>
  <si>
    <t>3            29/07/2025</t>
  </si>
  <si>
    <t>105 29/07/2025</t>
  </si>
  <si>
    <t>5|7F U|Fg8 HDF</t>
  </si>
  <si>
    <t>03/11/2025      TO        30/11/2025</t>
  </si>
  <si>
    <t>;eI ;lRJ §FZF AF/D[/M U|Fg8GF GF6F\ p5F0IF</t>
  </si>
  <si>
    <t>4            20/12/2025</t>
  </si>
  <si>
    <t>106 20/12/2025</t>
  </si>
  <si>
    <t>zL lJnFYL" 8=[0;"G[ 5|7F D8ZLI&lt;;GF lA, D]HA</t>
  </si>
  <si>
    <t>JF,L;\D[,G ;ZEZF BR" 5[8[ VHLTEF&gt;G[ JFPD]HA</t>
  </si>
  <si>
    <t>15/08/25</t>
  </si>
  <si>
    <t>21/12/2025       TO        31/12/2025</t>
  </si>
  <si>
    <t>;eI ;lRJ §FZF JF,L;\D[,G U|Fg8 VG[ 5|7F U|Fg8GF GF6F\ p5F0IF</t>
  </si>
  <si>
    <r>
      <rPr>
        <sz val="18"/>
        <color theme="1"/>
        <rFont val="Algerian"/>
        <family val="5"/>
      </rPr>
      <t xml:space="preserve">SMCE </t>
    </r>
    <r>
      <rPr>
        <sz val="18"/>
        <color theme="1"/>
        <rFont val="LMG-Arun"/>
      </rPr>
      <t xml:space="preserve">A[8FJF0FGF D]JF0FP5|FPXF/F    </t>
    </r>
    <r>
      <rPr>
        <sz val="18"/>
        <color rgb="FFFF0000"/>
        <rFont val="kalpeshchotalia3"/>
      </rPr>
      <t>R[S</t>
    </r>
    <r>
      <rPr>
        <sz val="18"/>
        <color theme="1"/>
        <rFont val="kalpeshchotalia3"/>
      </rPr>
      <t xml:space="preserve"> </t>
    </r>
    <r>
      <rPr>
        <sz val="18"/>
        <color rgb="FFFF0000"/>
        <rFont val="kalpeshchotalia3"/>
      </rPr>
      <t>Z_:8Z ë Z)Z5&lt;Z)Z^</t>
    </r>
  </si>
  <si>
    <r>
      <rPr>
        <sz val="18"/>
        <color theme="1"/>
        <rFont val="Algerian"/>
        <family val="5"/>
      </rPr>
      <t xml:space="preserve">SMCE </t>
    </r>
    <r>
      <rPr>
        <sz val="18"/>
        <color theme="1"/>
        <rFont val="LMG-Arun"/>
      </rPr>
      <t xml:space="preserve">A[8FJF0FGF D]JF0FP5|FPXF/F    </t>
    </r>
    <r>
      <rPr>
        <sz val="18"/>
        <color rgb="FFFF0000"/>
        <rFont val="kalpeshchotalia3"/>
      </rPr>
      <t>U|Fg8Z Z_:8Z ë Z)Z5&lt;Z)Z^</t>
    </r>
  </si>
  <si>
    <r>
      <rPr>
        <sz val="18"/>
        <color rgb="FFFF0000"/>
        <rFont val="Guj_Diamond_SULEKH"/>
      </rPr>
      <t xml:space="preserve">ãÏÔ Ó‘sÃÓ   </t>
    </r>
    <r>
      <rPr>
        <sz val="18"/>
        <color theme="1"/>
        <rFont val="Guj_Diamond_SULEKH"/>
      </rPr>
      <t xml:space="preserve">                    áëÖ.áëÑ.Öä.å ÏëÃâÕâÅâÌâ ÑçÕâÅâ                          </t>
    </r>
    <r>
      <rPr>
        <sz val="18"/>
        <color rgb="FFFF0000"/>
        <rFont val="Guj_Diamond_SULEKH"/>
      </rPr>
      <t>ÕØô« 2025/2026</t>
    </r>
  </si>
  <si>
    <t>1/1 Éä 1/21</t>
  </si>
  <si>
    <t>2/1 Éä 2/8</t>
  </si>
  <si>
    <t>4/1 Éä 4/2</t>
  </si>
  <si>
    <t>5|J[XMt;J SL8</t>
  </si>
  <si>
    <t>AMdA[ ;FJZ6LJF,F</t>
  </si>
  <si>
    <t>lÌQGF GMJ[&lt;8L :8MZ</t>
  </si>
  <si>
    <t>gI] UM5F, S8,ZL :8M;"</t>
  </si>
  <si>
    <t>AFIM D[l0S; C[&lt;YS[Z</t>
  </si>
  <si>
    <t>O:8 V[&gt;0 AMS; SL8</t>
  </si>
  <si>
    <t>ClZ VMD HGZ, :8M;"</t>
  </si>
  <si>
    <t>lÌØF S8,ZL</t>
  </si>
  <si>
    <t>5|J[XMt;J D8ZLI&lt;;</t>
  </si>
  <si>
    <t>zL lJnFYL" 8=[0;"</t>
  </si>
  <si>
    <t xml:space="preserve"> AF/D[/M D8ZLI&lt;;</t>
  </si>
  <si>
    <t xml:space="preserve"> 5|7F D8ZLI&lt;;</t>
  </si>
  <si>
    <r>
      <rPr>
        <sz val="14"/>
        <color rgb="FF002060"/>
        <rFont val="Calibri"/>
        <family val="2"/>
        <scheme val="minor"/>
      </rPr>
      <t xml:space="preserve">BM </t>
    </r>
    <r>
      <rPr>
        <sz val="14"/>
        <color rgb="FF002060"/>
        <rFont val="LMG-Arun"/>
      </rPr>
      <t>;]5Z AHFZ</t>
    </r>
  </si>
  <si>
    <t>25/06/2024</t>
  </si>
  <si>
    <t>17/01/2025</t>
  </si>
  <si>
    <t>26/01/2025</t>
  </si>
  <si>
    <t>15/03/2025</t>
  </si>
  <si>
    <t>16/04/2025</t>
  </si>
  <si>
    <t>14/06/2025</t>
  </si>
  <si>
    <t>25/06/2025</t>
  </si>
  <si>
    <t>15/07/2025</t>
  </si>
  <si>
    <t>15/08/2025</t>
  </si>
  <si>
    <t xml:space="preserve">AF/D[/M D8ZLI&lt;; </t>
  </si>
  <si>
    <t xml:space="preserve">XF/F :JrKTF D8ZLI&lt;; VG[ ;OF&gt;SFD4O:8 V[&gt;0 AMS; SL845|J[XMt;J SL8 </t>
  </si>
  <si>
    <t>XF/F :JrKTF D8ZLI&lt;; VG[ ;OF&gt;SFD4O:8 V[&gt;0 AMS; SL84JF,L;\D[,G ;ZEZF BR"45|J[XMt;J SL8</t>
  </si>
  <si>
    <t>JØ" vo Z_Z5 q Z_Z&amp;</t>
  </si>
  <si>
    <r>
      <t xml:space="preserve">           </t>
    </r>
    <r>
      <rPr>
        <sz val="16"/>
        <color theme="1"/>
        <rFont val="LMG-Arun"/>
      </rPr>
      <t>VFYL 5|DF65+ VF5JFDF\ VFJ[ K[ S[ ;DU |lXÙF V\TU"T JØ" Z_Z5 q Z_Z&amp; NZdIFG  V[;PV[DP;LP&gt;</t>
    </r>
  </si>
  <si>
    <t>ZMHD[/ 5|DF6[ TFv #!q#qZ_Z&amp; GL l;,S pD[ZJL</t>
  </si>
  <si>
    <t>01/01/2026   TO   29/01/2026</t>
  </si>
  <si>
    <t>l;lJ, U|Fg8 HDF\</t>
  </si>
  <si>
    <t>07/02/2026   TO    25/02/2026</t>
  </si>
  <si>
    <t>26/02/2026</t>
  </si>
  <si>
    <t>;LPVFZP;L ÊMPVMl0G[8ZG[ART U|Fg8 5ZT</t>
  </si>
  <si>
    <t>107 25/02/2026</t>
  </si>
  <si>
    <t>jIFH</t>
  </si>
  <si>
    <t>27/02/2026   TO        02/03/2026</t>
  </si>
  <si>
    <t>5            25/02/2025</t>
  </si>
  <si>
    <t>l;lJ, U|Fg8DF\YL R[SYL GF6F\ R]SjIF</t>
  </si>
  <si>
    <t>G8JZl;\CG[ S,ZSFD DH]ZLGF R]SjIFPJFPD]HA</t>
  </si>
  <si>
    <t>108 26/02/2026</t>
  </si>
  <si>
    <t>lT~5lT 8=[l0\U S\5GLG[ S,ZGF R]SjIFPJFPD]HA</t>
  </si>
  <si>
    <t>7            01/03/2026</t>
  </si>
  <si>
    <t>AFlZIFGF D]JF0F</t>
  </si>
  <si>
    <t xml:space="preserve">A[8FJF0FGF D]JF0FP5|FPXF/F </t>
  </si>
  <si>
    <r>
      <t>5F;A]S</t>
    </r>
    <r>
      <rPr>
        <sz val="16"/>
        <color rgb="FF002060"/>
        <rFont val="Calibri"/>
        <family val="2"/>
        <scheme val="minor"/>
      </rPr>
      <t xml:space="preserve"> </t>
    </r>
    <r>
      <rPr>
        <sz val="16"/>
        <color rgb="FF002060"/>
        <rFont val="LMG-Arun"/>
      </rPr>
      <t>q</t>
    </r>
    <r>
      <rPr>
        <sz val="16"/>
        <color rgb="FF002060"/>
        <rFont val="Calibri"/>
        <family val="2"/>
        <scheme val="minor"/>
      </rPr>
      <t xml:space="preserve"> </t>
    </r>
    <r>
      <rPr>
        <sz val="16"/>
        <color rgb="FF002060"/>
        <rFont val="LMG-Arun"/>
      </rPr>
      <t>A[\S</t>
    </r>
    <r>
      <rPr>
        <sz val="16"/>
        <color rgb="FF002060"/>
        <rFont val="Calibri"/>
        <family val="2"/>
        <scheme val="minor"/>
      </rPr>
      <t xml:space="preserve"> </t>
    </r>
    <r>
      <rPr>
        <sz val="16"/>
        <color rgb="FF002060"/>
        <rFont val="LMG-Arun"/>
      </rPr>
      <t>:8[8D[g8</t>
    </r>
    <r>
      <rPr>
        <sz val="16"/>
        <color rgb="FF002060"/>
        <rFont val="Calibri"/>
        <family val="2"/>
        <scheme val="minor"/>
      </rPr>
      <t xml:space="preserve"> </t>
    </r>
    <r>
      <rPr>
        <sz val="16"/>
        <color rgb="FF002060"/>
        <rFont val="LMG-Arun"/>
      </rPr>
      <t>5|DF6[</t>
    </r>
    <r>
      <rPr>
        <sz val="16"/>
        <color rgb="FF002060"/>
        <rFont val="Calibri"/>
        <family val="2"/>
        <scheme val="minor"/>
      </rPr>
      <t xml:space="preserve">                     </t>
    </r>
    <r>
      <rPr>
        <sz val="16"/>
        <color rgb="FF002060"/>
        <rFont val="LMG-Arun"/>
      </rPr>
      <t xml:space="preserve">TF vo #!q_#qZ_Z&amp; </t>
    </r>
    <r>
      <rPr>
        <sz val="16"/>
        <color rgb="FF002060"/>
        <rFont val="Calibri"/>
        <family val="2"/>
      </rPr>
      <t xml:space="preserve"> </t>
    </r>
    <r>
      <rPr>
        <sz val="16"/>
        <color rgb="FF002060"/>
        <rFont val="LMG-Arun"/>
      </rPr>
      <t>l;,S</t>
    </r>
  </si>
  <si>
    <r>
      <t>R[SGL</t>
    </r>
    <r>
      <rPr>
        <sz val="14"/>
        <color rgb="FF000066"/>
        <rFont val="Calibri"/>
        <family val="2"/>
        <scheme val="minor"/>
      </rPr>
      <t xml:space="preserve"> </t>
    </r>
    <r>
      <rPr>
        <sz val="14"/>
        <color rgb="FF000066"/>
        <rFont val="LMG-Arun"/>
      </rPr>
      <t>TFZLB</t>
    </r>
  </si>
  <si>
    <t>R[S G\AZ</t>
  </si>
  <si>
    <t>SMGF BFTFDF\ GF6F\ 8=Fgg;OZ SIF" T[G]\ GFD s5NZ BR" SIM" CMI TM VCL GFD ,BJ]\f</t>
  </si>
  <si>
    <t>AL, N]SFGNFZ45F8L"G]\GFD</t>
  </si>
  <si>
    <t>U|Fg8GM C[0</t>
  </si>
  <si>
    <t>lN5SS]DFZPJLP58[,</t>
  </si>
  <si>
    <r>
      <t xml:space="preserve">SMCE </t>
    </r>
    <r>
      <rPr>
        <sz val="18"/>
        <color theme="1"/>
        <rFont val="LMG-Arun"/>
      </rPr>
      <t>V[HI]S[XG A[gS VMO AZM0F A[gSGF BR"GL lJUT NXF"JT]\ 5+S</t>
    </r>
    <r>
      <rPr>
        <sz val="18"/>
        <color theme="1"/>
        <rFont val="Calibri"/>
        <family val="2"/>
        <scheme val="minor"/>
      </rPr>
      <t xml:space="preserve"> ( </t>
    </r>
    <r>
      <rPr>
        <sz val="18"/>
        <color theme="1"/>
        <rFont val="LMG-Arun"/>
      </rPr>
      <t>V[l5|, Z_Z5 YL DFR" Z_Z&amp;f 5+S v</t>
    </r>
    <r>
      <rPr>
        <sz val="18"/>
        <color theme="1"/>
        <rFont val="Calibri"/>
        <family val="2"/>
        <scheme val="minor"/>
      </rPr>
      <t xml:space="preserve"> </t>
    </r>
    <r>
      <rPr>
        <sz val="18"/>
        <color theme="1"/>
        <rFont val="Aparajita"/>
        <family val="1"/>
      </rPr>
      <t>D</t>
    </r>
  </si>
  <si>
    <t xml:space="preserve">શાળાનું નામ </t>
  </si>
  <si>
    <t>ક્લસ્ટર</t>
  </si>
  <si>
    <t xml:space="preserve">તાલુકાનું નામ </t>
  </si>
  <si>
    <t xml:space="preserve">બેન્ક્નુંનામ </t>
  </si>
  <si>
    <t>બેન્ક ખાતા નંબર</t>
  </si>
  <si>
    <t xml:space="preserve">ડાયસ કોડ </t>
  </si>
  <si>
    <t xml:space="preserve">આચાર્યનું નામ </t>
  </si>
  <si>
    <t>આચાર્યનો મોબાઈલ નંબર</t>
  </si>
  <si>
    <t>બેટાવાડાના મુવાડા</t>
  </si>
  <si>
    <t>બારિયાના મુવાડા</t>
  </si>
  <si>
    <t>કપડવંજ</t>
  </si>
  <si>
    <t>BOB અંતિસર</t>
  </si>
  <si>
    <t xml:space="preserve">પટેલ દિપકકુમાર વિઠ્ઠલભાઇ </t>
  </si>
  <si>
    <t>20/12/2026</t>
  </si>
  <si>
    <t>;LPVVFZP;LPÌM</t>
  </si>
  <si>
    <t>ART jIFH</t>
  </si>
  <si>
    <t>26/02/2027</t>
  </si>
  <si>
    <t>26/02/2028</t>
  </si>
  <si>
    <t>ZF9M0 G8JZl;\C lCdDTl;\C</t>
  </si>
  <si>
    <t>23/03/2026</t>
  </si>
  <si>
    <t>6            26/03/2026</t>
  </si>
  <si>
    <t>04/03/2026   TO   17/03/2026</t>
  </si>
  <si>
    <t>18/03/2026</t>
  </si>
  <si>
    <t>;eI ;lRJ §FZF :JrKTF U|Fg8GF GF6F\ p5F0IF</t>
  </si>
  <si>
    <t>8            23/03/2026</t>
  </si>
  <si>
    <t>110 23/03/2026</t>
  </si>
  <si>
    <t>24/03/2026    TO   30/03/2026</t>
  </si>
  <si>
    <t>DCF,1DL lSZF6F :8M;"G[ lA, D]HA</t>
  </si>
  <si>
    <t>26/01/26</t>
  </si>
  <si>
    <t>14/08/25</t>
  </si>
  <si>
    <r>
      <t xml:space="preserve">તારીખ ૩૧/૦૩/૨૦૨૬ ના રોજ બેટાવાડાના મુવાડા </t>
    </r>
    <r>
      <rPr>
        <b/>
        <sz val="16"/>
        <color theme="1"/>
        <rFont val="Calibri"/>
        <family val="2"/>
        <scheme val="minor"/>
      </rPr>
      <t>SMCE</t>
    </r>
    <r>
      <rPr>
        <b/>
        <sz val="16"/>
        <color theme="1"/>
        <rFont val="Bhaskar_Guj_Head"/>
      </rPr>
      <t xml:space="preserve"> ની બંધ સિલક રૂપિયા ૧૫૪.00  રહે છે.</t>
    </r>
  </si>
  <si>
    <t>X~GL  l;,S</t>
  </si>
  <si>
    <t>JØ"  NZdIFG  D/[, U|Fg8</t>
  </si>
  <si>
    <t>S], BR"</t>
  </si>
  <si>
    <t>#!q_#qZ&amp;   GL   A\W l;,S</t>
  </si>
  <si>
    <t>30/01/2026</t>
  </si>
  <si>
    <t>S,ZSFD DH]ZLGF R]SjIFPJFPD]</t>
  </si>
  <si>
    <t>S,Z D8ZLI&lt;;GF R]SjIFPJFPD]</t>
  </si>
  <si>
    <r>
      <t xml:space="preserve">BOB </t>
    </r>
    <r>
      <rPr>
        <sz val="12"/>
        <color theme="1"/>
        <rFont val="LMG-Arun"/>
      </rPr>
      <t>lRB,M0</t>
    </r>
  </si>
  <si>
    <t xml:space="preserve">5|7F D8ZLI&lt;;4JF,L;\D[,G ;ZEZF BR" </t>
  </si>
  <si>
    <t>;LPVFZP;L ÊMPVMl0G[8Z</t>
  </si>
  <si>
    <t>ART U|Fg8 5ZT</t>
  </si>
  <si>
    <t>25/02/2026</t>
  </si>
  <si>
    <t>G8JZl;\C lCdDTl;\C ZF9M0</t>
  </si>
  <si>
    <t>8/1 Éä 8/7</t>
  </si>
  <si>
    <t>XF/F :JrKTF D8ZLI&lt;; VG[ ;OF&gt;SFD DH]ZL4JF,L;\D[,G ;ZEZFBR"</t>
  </si>
  <si>
    <t>DCF,1DL lSZF6F :8M;"</t>
  </si>
  <si>
    <t>26/01/2026</t>
  </si>
  <si>
    <t>14/08/2025</t>
  </si>
  <si>
    <t>R[S  GM ÌDF\S</t>
  </si>
  <si>
    <t>R[SGL  TFZLB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</si>
</sst>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mm/dd/yyyy"/>
    <numFmt numFmtId="166" formatCode="m/d;@"/>
  </numFmts>
  <fonts count="1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LMG-Arun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LMG-Arun"/>
    </font>
    <font>
      <b/>
      <sz val="11"/>
      <color theme="1"/>
      <name val="LMG-Arun"/>
    </font>
    <font>
      <b/>
      <sz val="16"/>
      <color theme="1"/>
      <name val="LMG-Arun"/>
    </font>
    <font>
      <b/>
      <sz val="16"/>
      <color theme="1"/>
      <name val="Calibri"/>
      <family val="2"/>
      <scheme val="minor"/>
    </font>
    <font>
      <b/>
      <sz val="14"/>
      <color rgb="FF002060"/>
      <name val="LMG-Arun"/>
    </font>
    <font>
      <sz val="14"/>
      <color rgb="FF002060"/>
      <name val="LMG-Arun"/>
    </font>
    <font>
      <b/>
      <sz val="14"/>
      <color rgb="FF7030A0"/>
      <name val="LMG-Arun"/>
    </font>
    <font>
      <b/>
      <sz val="16"/>
      <color rgb="FF002060"/>
      <name val="LMG-Arun"/>
    </font>
    <font>
      <b/>
      <sz val="26"/>
      <color rgb="FF002060"/>
      <name val="Angsana New"/>
      <family val="1"/>
    </font>
    <font>
      <b/>
      <sz val="12"/>
      <color theme="1"/>
      <name val="Guj_Regular_Bold_SULEKH"/>
    </font>
    <font>
      <b/>
      <sz val="11"/>
      <color theme="1"/>
      <name val="Guj_Regular_Bold_SULEKH"/>
    </font>
    <font>
      <sz val="11"/>
      <color rgb="FF0070C0"/>
      <name val="LMG-Arun"/>
    </font>
    <font>
      <sz val="20"/>
      <color rgb="FF0070C0"/>
      <name val="LMG-Arun"/>
    </font>
    <font>
      <sz val="11"/>
      <color rgb="FF0070C0"/>
      <name val="Calibri"/>
      <family val="2"/>
      <scheme val="minor"/>
    </font>
    <font>
      <sz val="16"/>
      <color rgb="FFAE0258"/>
      <name val="LMG-Arun"/>
    </font>
    <font>
      <sz val="16"/>
      <color rgb="FFAE0258"/>
      <name val="Calibri Light"/>
      <family val="1"/>
      <scheme val="major"/>
    </font>
    <font>
      <b/>
      <sz val="14"/>
      <color rgb="FF002060"/>
      <name val="Calibri"/>
      <family val="2"/>
      <scheme val="minor"/>
    </font>
    <font>
      <sz val="12"/>
      <color theme="1"/>
      <name val="Guj_Simple_Bold_SULEKH"/>
    </font>
    <font>
      <sz val="12"/>
      <color theme="1"/>
      <name val="LMG-Arun"/>
    </font>
    <font>
      <sz val="12"/>
      <color theme="1"/>
      <name val="Calibri"/>
      <family val="2"/>
      <scheme val="minor"/>
    </font>
    <font>
      <sz val="12"/>
      <color theme="1"/>
      <name val="Guj_Regular_Bold_SULEKH"/>
    </font>
    <font>
      <b/>
      <sz val="12"/>
      <color theme="1"/>
      <name val="LMG-Arun"/>
    </font>
    <font>
      <sz val="11"/>
      <color theme="1"/>
      <name val="LMG-Arun"/>
    </font>
    <font>
      <b/>
      <sz val="14"/>
      <color theme="1"/>
      <name val="LMG-Arun"/>
    </font>
    <font>
      <b/>
      <sz val="14"/>
      <color theme="1"/>
      <name val="Calibri"/>
      <family val="2"/>
      <scheme val="minor"/>
    </font>
    <font>
      <b/>
      <sz val="14"/>
      <color rgb="FF000066"/>
      <name val="LMG-Arun"/>
    </font>
    <font>
      <sz val="14"/>
      <color rgb="FF000066"/>
      <name val="LMG-Arun"/>
    </font>
    <font>
      <sz val="14"/>
      <color rgb="FF000066"/>
      <name val="Calibri"/>
      <family val="2"/>
      <scheme val="minor"/>
    </font>
    <font>
      <sz val="14"/>
      <color theme="1"/>
      <name val="Guj_Regular_Bold_SULEKH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1"/>
      <name val="LMG-Arun"/>
    </font>
    <font>
      <sz val="18"/>
      <color theme="1"/>
      <name val="Calibri"/>
      <family val="2"/>
      <scheme val="minor"/>
    </font>
    <font>
      <b/>
      <sz val="12"/>
      <color rgb="FF0070C0"/>
      <name val="LMG-Arun"/>
    </font>
    <font>
      <b/>
      <sz val="12"/>
      <color rgb="FF000066"/>
      <name val="LMG-Arun"/>
    </font>
    <font>
      <sz val="11"/>
      <color rgb="FF000066"/>
      <name val="Calibri"/>
      <family val="2"/>
      <scheme val="minor"/>
    </font>
    <font>
      <b/>
      <sz val="11"/>
      <color theme="1"/>
      <name val="FrankRuehl"/>
      <family val="2"/>
      <charset val="177"/>
    </font>
    <font>
      <sz val="11"/>
      <color rgb="FF0000FF"/>
      <name val="Calibri"/>
      <family val="2"/>
      <scheme val="minor"/>
    </font>
    <font>
      <b/>
      <sz val="9"/>
      <color theme="1"/>
      <name val="LMG-Arun"/>
    </font>
    <font>
      <sz val="16"/>
      <color rgb="FF660066"/>
      <name val="LMG-Arun"/>
    </font>
    <font>
      <sz val="11"/>
      <color theme="1"/>
      <name val="Guj_Regular_Bold_SULEKH"/>
    </font>
    <font>
      <b/>
      <sz val="11"/>
      <color rgb="FF0000FF"/>
      <name val="Guj_Regular_Bold_SULEKH"/>
    </font>
    <font>
      <sz val="12"/>
      <color rgb="FF0000FF"/>
      <name val="Guj_Regular_Bold_SULEKH"/>
    </font>
    <font>
      <b/>
      <sz val="12"/>
      <color rgb="FF0000FF"/>
      <name val="LMG-Arun"/>
    </font>
    <font>
      <sz val="11"/>
      <color rgb="FF0000FF"/>
      <name val="Guj_Regular_Bold_SULEKH"/>
    </font>
    <font>
      <b/>
      <sz val="12"/>
      <color rgb="FF0000FF"/>
      <name val="Guj_Regular_Bold_SULEKH"/>
    </font>
    <font>
      <sz val="12"/>
      <color rgb="FF0000FF"/>
      <name val="Calibri"/>
      <family val="2"/>
      <scheme val="minor"/>
    </font>
    <font>
      <sz val="16"/>
      <color rgb="FFFF0066"/>
      <name val="LMG-Arun"/>
    </font>
    <font>
      <b/>
      <sz val="14"/>
      <color rgb="FF7030A0"/>
      <name val="Calibri"/>
      <family val="2"/>
      <scheme val="minor"/>
    </font>
    <font>
      <sz val="16"/>
      <color rgb="FF7030A0"/>
      <name val="LMG-Arun"/>
    </font>
    <font>
      <sz val="10"/>
      <color theme="1"/>
      <name val="Guj_Regular_Bold_SULEKH"/>
    </font>
    <font>
      <sz val="18"/>
      <color theme="1"/>
      <name val="Guj_Regular_Bold_SULEKH"/>
    </font>
    <font>
      <sz val="9"/>
      <color theme="1"/>
      <name val="LMG-Arun"/>
    </font>
    <font>
      <sz val="10"/>
      <color theme="1"/>
      <name val="LMG-Arun"/>
    </font>
    <font>
      <sz val="10"/>
      <color rgb="FF0000FF"/>
      <name val="Guj_Regular_Bold_SULEKH"/>
    </font>
    <font>
      <sz val="18"/>
      <color theme="1"/>
      <name val="Algerian"/>
      <family val="5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4"/>
      <color rgb="FF002060"/>
      <name val="Calibri"/>
      <family val="2"/>
      <scheme val="minor"/>
    </font>
    <font>
      <sz val="12"/>
      <color rgb="FF660066"/>
      <name val="Guj_Regular_Bold_SULEKH"/>
    </font>
    <font>
      <sz val="14"/>
      <color rgb="FF660066"/>
      <name val="Guj_Regular_Bold_SULEKH"/>
    </font>
    <font>
      <sz val="22"/>
      <color theme="1"/>
      <name val="LMG-Arun"/>
    </font>
    <font>
      <sz val="20"/>
      <color theme="1"/>
      <name val="LMG-Arun"/>
    </font>
    <font>
      <sz val="16"/>
      <color theme="1"/>
      <name val="TERAFONT-CHANDAN"/>
    </font>
    <font>
      <sz val="16"/>
      <color theme="1"/>
      <name val="Guj_Regular_Bold_SULEKH"/>
    </font>
    <font>
      <sz val="22"/>
      <color theme="1"/>
      <name val="Guj_Regular_Bold_SULEKH"/>
    </font>
    <font>
      <sz val="14"/>
      <color rgb="FF7030A0"/>
      <name val="LMG-Arun"/>
    </font>
    <font>
      <sz val="14"/>
      <color rgb="FF7030A0"/>
      <name val="Calibri"/>
      <family val="2"/>
      <scheme val="minor"/>
    </font>
    <font>
      <b/>
      <sz val="9"/>
      <color rgb="FF7030A0"/>
      <name val="LMG-Arun"/>
    </font>
    <font>
      <sz val="16"/>
      <color rgb="FF7030A0"/>
      <name val="Andalus"/>
      <family val="1"/>
    </font>
    <font>
      <b/>
      <sz val="10"/>
      <color rgb="FF660066"/>
      <name val="Guj_Regular_Bold_SULEKH"/>
    </font>
    <font>
      <sz val="14"/>
      <color rgb="FF7030A0"/>
      <name val="Guj_Regular_Bold_SULEKH"/>
    </font>
    <font>
      <b/>
      <sz val="16"/>
      <color rgb="FF7030A0"/>
      <name val="Guj_Regular_Bold_SULEKH"/>
    </font>
    <font>
      <sz val="18"/>
      <color rgb="FF7030A0"/>
      <name val="LMG-Arun"/>
    </font>
    <font>
      <sz val="18"/>
      <color rgb="FF002060"/>
      <name val="LMG-Arun"/>
    </font>
    <font>
      <sz val="18"/>
      <color rgb="FF6600CC"/>
      <name val="LMG-Arun"/>
    </font>
    <font>
      <b/>
      <sz val="16"/>
      <color theme="1"/>
      <name val="Aparajita"/>
      <family val="2"/>
    </font>
    <font>
      <sz val="16"/>
      <color theme="1"/>
      <name val="Aparajita"/>
      <family val="2"/>
    </font>
    <font>
      <b/>
      <sz val="14"/>
      <color theme="1"/>
      <name val="Andalus"/>
      <family val="1"/>
    </font>
    <font>
      <b/>
      <sz val="12"/>
      <color theme="1"/>
      <name val="Aparajita"/>
      <family val="2"/>
    </font>
    <font>
      <sz val="12"/>
      <color theme="1"/>
      <name val="Aparajita"/>
      <family val="2"/>
    </font>
    <font>
      <b/>
      <sz val="12"/>
      <color theme="1"/>
      <name val="Andalus"/>
      <family val="1"/>
    </font>
    <font>
      <sz val="16"/>
      <color rgb="FF0000FF"/>
      <name val="Aparajita"/>
      <family val="2"/>
    </font>
    <font>
      <sz val="12"/>
      <color rgb="FF7030A0"/>
      <name val="LMG-Arun"/>
    </font>
    <font>
      <b/>
      <sz val="14"/>
      <color rgb="FF002060"/>
      <name val="Guj_Saral_Bold_SULEKH"/>
    </font>
    <font>
      <b/>
      <sz val="14"/>
      <color rgb="FF7030A0"/>
      <name val="Guj_Saral_Bold_SULEKH"/>
    </font>
    <font>
      <sz val="16"/>
      <color rgb="FF0000FF"/>
      <name val="LMG-Arun"/>
    </font>
    <font>
      <sz val="16"/>
      <color rgb="FF0000FF"/>
      <name val="Calibri"/>
      <family val="2"/>
      <scheme val="minor"/>
    </font>
    <font>
      <b/>
      <sz val="20"/>
      <color rgb="FF7030A0"/>
      <name val="LMG-Arun"/>
    </font>
    <font>
      <b/>
      <sz val="22"/>
      <color rgb="FF7030A0"/>
      <name val="Angsana New"/>
      <family val="1"/>
    </font>
    <font>
      <b/>
      <sz val="20"/>
      <color rgb="FF7030A0"/>
      <name val="Angsana New"/>
      <family val="1"/>
    </font>
    <font>
      <b/>
      <sz val="18"/>
      <color rgb="FF002060"/>
      <name val="LMG-Arun"/>
    </font>
    <font>
      <b/>
      <sz val="18"/>
      <color rgb="FF6600CC"/>
      <name val="LMG-Arun"/>
    </font>
    <font>
      <b/>
      <sz val="22"/>
      <color theme="1"/>
      <name val="LMG-Arun"/>
    </font>
    <font>
      <sz val="16"/>
      <color theme="1"/>
      <name val="Guj_HeadLine_SULEKH"/>
    </font>
    <font>
      <sz val="16"/>
      <color rgb="FF002060"/>
      <name val="LMG-Arun"/>
    </font>
    <font>
      <sz val="12"/>
      <color rgb="FF002060"/>
      <name val="Calibri"/>
      <family val="2"/>
      <scheme val="minor"/>
    </font>
    <font>
      <sz val="16"/>
      <color rgb="FF002060"/>
      <name val="Calibri"/>
      <family val="2"/>
      <scheme val="minor"/>
    </font>
    <font>
      <sz val="16"/>
      <color rgb="FF002060"/>
      <name val="Calibri"/>
      <family val="2"/>
    </font>
    <font>
      <sz val="11"/>
      <color theme="1"/>
      <name val="Cambria"/>
      <family val="1"/>
    </font>
    <font>
      <sz val="11"/>
      <color rgb="FF000066"/>
      <name val="Cambria"/>
      <family val="1"/>
    </font>
    <font>
      <b/>
      <sz val="11"/>
      <color rgb="FF0000FF"/>
      <name val="Cambria"/>
      <family val="1"/>
    </font>
    <font>
      <b/>
      <sz val="11"/>
      <color theme="1"/>
      <name val="Cambria"/>
      <family val="1"/>
    </font>
    <font>
      <sz val="11"/>
      <color rgb="FF0000FF"/>
      <name val="Cambria"/>
      <family val="1"/>
    </font>
    <font>
      <sz val="9"/>
      <color theme="1"/>
      <name val="Cambria"/>
      <family val="1"/>
    </font>
    <font>
      <b/>
      <sz val="10"/>
      <color theme="1"/>
      <name val="Cambria"/>
      <family val="1"/>
    </font>
    <font>
      <b/>
      <sz val="10"/>
      <color rgb="FF0000FF"/>
      <name val="Cambria"/>
      <family val="1"/>
    </font>
    <font>
      <sz val="18"/>
      <color theme="1"/>
      <name val="Guj_Diamond_SULEKH"/>
    </font>
    <font>
      <b/>
      <sz val="22"/>
      <color rgb="FF7030A0"/>
      <name val="Angsana New"/>
      <family val="1"/>
      <charset val="222"/>
    </font>
    <font>
      <b/>
      <sz val="24"/>
      <color rgb="FF002060"/>
      <name val="Angsana New"/>
      <family val="1"/>
    </font>
    <font>
      <b/>
      <sz val="16"/>
      <color theme="1"/>
      <name val="Andalus"/>
      <family val="1"/>
    </font>
    <font>
      <b/>
      <sz val="16"/>
      <color rgb="FF0000FF"/>
      <name val="Guj_Regular_Bold_SULEKH"/>
    </font>
    <font>
      <sz val="16"/>
      <color rgb="FF000000"/>
      <name val="LMG-Arun"/>
    </font>
    <font>
      <sz val="16"/>
      <color rgb="FF000000"/>
      <name val="Calibri"/>
      <family val="2"/>
      <scheme val="minor"/>
    </font>
    <font>
      <sz val="16"/>
      <color rgb="FF0000FF"/>
      <name val="Guj_Regular_Bold_SULEKH"/>
    </font>
    <font>
      <b/>
      <sz val="9"/>
      <color rgb="FF0000FF"/>
      <name val="Cambria"/>
      <family val="1"/>
    </font>
    <font>
      <sz val="9"/>
      <color theme="1"/>
      <name val="Calibri"/>
      <family val="2"/>
      <scheme val="minor"/>
    </font>
    <font>
      <sz val="16"/>
      <color rgb="FFFF3399"/>
      <name val="LMG-Arun"/>
    </font>
    <font>
      <sz val="18"/>
      <color theme="1"/>
      <name val="kalpeshchotalia3"/>
    </font>
    <font>
      <sz val="18"/>
      <color rgb="FFFF0000"/>
      <name val="kalpeshchotalia3"/>
    </font>
    <font>
      <sz val="18"/>
      <color rgb="FFFF0000"/>
      <name val="Guj_Diamond_SULEKH"/>
    </font>
    <font>
      <sz val="14"/>
      <color rgb="FFFF0066"/>
      <name val="Guj_Regular_Bold_SULEKH"/>
    </font>
    <font>
      <b/>
      <sz val="11"/>
      <color rgb="FF002060"/>
      <name val="Guj_Saral_Bold_SULEKH"/>
    </font>
    <font>
      <b/>
      <sz val="11"/>
      <color rgb="FF7030A0"/>
      <name val="Guj_Saral_Bold_SULEKH"/>
    </font>
    <font>
      <sz val="18"/>
      <color theme="1"/>
      <name val="Aparajita"/>
      <family val="1"/>
    </font>
    <font>
      <sz val="8"/>
      <name val="Calibri"/>
      <family val="2"/>
      <scheme val="minor"/>
    </font>
    <font>
      <sz val="12"/>
      <color theme="1"/>
      <name val="Bhaskar_Guj_Head"/>
    </font>
    <font>
      <sz val="12"/>
      <color theme="1"/>
      <name val="Cambria"/>
      <family val="1"/>
    </font>
    <font>
      <b/>
      <sz val="16"/>
      <color theme="1"/>
      <name val="Bhaskar_Guj_Head"/>
    </font>
    <font>
      <sz val="14"/>
      <color rgb="FF0000FF"/>
      <name val="Guj_Regular_Bold_SULEKH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CCFFFF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7030A0"/>
      </left>
      <right/>
      <top style="thin">
        <color rgb="FF7030A0"/>
      </top>
      <bottom style="thin">
        <color rgb="FF7030A0"/>
      </bottom>
      <diagonal/>
    </border>
    <border>
      <left/>
      <right/>
      <top style="thin">
        <color rgb="FF7030A0"/>
      </top>
      <bottom style="thin">
        <color rgb="FF7030A0"/>
      </bottom>
      <diagonal/>
    </border>
    <border>
      <left/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/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/>
      <bottom style="thin">
        <color rgb="FF7030A0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medium">
        <color rgb="FF7030A0"/>
      </right>
      <top style="thin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/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1454817346722"/>
      </left>
      <right style="thin">
        <color theme="3" tint="0.399945066682943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399945066682943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/>
      <right/>
      <top style="thin">
        <color rgb="FF7030A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66"/>
      </left>
      <right style="medium">
        <color rgb="FF000066"/>
      </right>
      <top style="medium">
        <color rgb="FF000066"/>
      </top>
      <bottom style="medium">
        <color rgb="FF0000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66"/>
      </left>
      <right style="medium">
        <color rgb="FF000066"/>
      </right>
      <top/>
      <bottom style="medium">
        <color rgb="FF000066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auto="1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medium">
        <color auto="1"/>
      </right>
      <top style="thick">
        <color indexed="64"/>
      </top>
      <bottom/>
      <diagonal/>
    </border>
    <border>
      <left style="thin">
        <color theme="9" tint="-0.24994659260841701"/>
      </left>
      <right/>
      <top style="thin">
        <color rgb="FF7030A0"/>
      </top>
      <bottom style="thin">
        <color rgb="FF7030A0"/>
      </bottom>
      <diagonal/>
    </border>
    <border>
      <left style="thin">
        <color rgb="FF7030A0"/>
      </left>
      <right/>
      <top style="thin">
        <color rgb="FF7030A0"/>
      </top>
      <bottom/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/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indexed="64"/>
      </top>
      <bottom/>
      <diagonal/>
    </border>
    <border>
      <left/>
      <right/>
      <top/>
      <bottom style="double">
        <color auto="1"/>
      </bottom>
      <diagonal/>
    </border>
    <border>
      <left style="thick">
        <color rgb="FF7030A0"/>
      </left>
      <right/>
      <top style="thick">
        <color rgb="FF7030A0"/>
      </top>
      <bottom style="thick">
        <color rgb="FF7030A0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/>
      <right style="thick">
        <color rgb="FF7030A0"/>
      </right>
      <top style="thick">
        <color rgb="FF7030A0"/>
      </top>
      <bottom style="thick">
        <color rgb="FF7030A0"/>
      </bottom>
      <diagonal/>
    </border>
    <border>
      <left style="medium">
        <color rgb="FFFF0066"/>
      </left>
      <right/>
      <top style="medium">
        <color rgb="FFFF0066"/>
      </top>
      <bottom style="medium">
        <color rgb="FFFF0066"/>
      </bottom>
      <diagonal/>
    </border>
    <border>
      <left/>
      <right/>
      <top style="medium">
        <color rgb="FFFF0066"/>
      </top>
      <bottom style="medium">
        <color rgb="FFFF0066"/>
      </bottom>
      <diagonal/>
    </border>
    <border>
      <left/>
      <right style="medium">
        <color rgb="FFFF0066"/>
      </right>
      <top style="medium">
        <color rgb="FFFF0066"/>
      </top>
      <bottom style="medium">
        <color rgb="FFFF0066"/>
      </bottom>
      <diagonal/>
    </border>
    <border>
      <left style="double">
        <color rgb="FFC00000"/>
      </left>
      <right style="double">
        <color rgb="FFC00000"/>
      </right>
      <top style="double">
        <color rgb="FFC00000"/>
      </top>
      <bottom style="double">
        <color rgb="FFC00000"/>
      </bottom>
      <diagonal/>
    </border>
    <border>
      <left/>
      <right/>
      <top style="double">
        <color rgb="FFC00000"/>
      </top>
      <bottom/>
      <diagonal/>
    </border>
    <border>
      <left/>
      <right/>
      <top/>
      <bottom style="double">
        <color rgb="FFC00000"/>
      </bottom>
      <diagonal/>
    </border>
    <border>
      <left style="thin">
        <color rgb="FF0000FF"/>
      </left>
      <right style="thin">
        <color indexed="64"/>
      </right>
      <top style="thin">
        <color rgb="FF0000FF"/>
      </top>
      <bottom/>
      <diagonal/>
    </border>
    <border>
      <left style="thin">
        <color rgb="FF0000FF"/>
      </left>
      <right style="thin">
        <color indexed="64"/>
      </right>
      <top/>
      <bottom style="thin">
        <color rgb="FF0000FF"/>
      </bottom>
      <diagonal/>
    </border>
    <border>
      <left style="medium">
        <color rgb="FF000066"/>
      </left>
      <right style="medium">
        <color rgb="FF000066"/>
      </right>
      <top style="medium">
        <color rgb="FF000066"/>
      </top>
      <bottom/>
      <diagonal/>
    </border>
  </borders>
  <cellStyleXfs count="3">
    <xf numFmtId="0" fontId="0" fillId="0" borderId="0"/>
    <xf numFmtId="0" fontId="35" fillId="12" borderId="0" applyNumberFormat="0" applyBorder="0" applyAlignment="0" applyProtection="0"/>
    <xf numFmtId="0" fontId="34" fillId="13" borderId="0" applyNumberFormat="0" applyBorder="0" applyAlignment="0" applyProtection="0"/>
  </cellStyleXfs>
  <cellXfs count="521">
    <xf numFmtId="0" fontId="0" fillId="0" borderId="0" xfId="0"/>
    <xf numFmtId="0" fontId="9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4" fillId="0" borderId="0" xfId="0" applyFont="1" applyAlignment="1">
      <alignment wrapText="1"/>
    </xf>
    <xf numFmtId="0" fontId="0" fillId="0" borderId="0" xfId="0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0" fillId="0" borderId="7" xfId="0" applyBorder="1"/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8" fillId="0" borderId="8" xfId="0" applyFont="1" applyBorder="1" applyAlignment="1" applyProtection="1">
      <alignment horizontal="center" vertical="center"/>
      <protection locked="0"/>
    </xf>
    <xf numFmtId="0" fontId="38" fillId="0" borderId="8" xfId="0" applyFont="1" applyBorder="1" applyAlignment="1" applyProtection="1">
      <alignment horizontal="center" vertical="center" wrapText="1"/>
      <protection locked="0"/>
    </xf>
    <xf numFmtId="0" fontId="38" fillId="0" borderId="13" xfId="0" applyFont="1" applyBorder="1" applyAlignment="1" applyProtection="1">
      <alignment horizontal="center" vertical="center"/>
      <protection locked="0"/>
    </xf>
    <xf numFmtId="0" fontId="38" fillId="0" borderId="12" xfId="0" applyFont="1" applyBorder="1" applyAlignment="1" applyProtection="1">
      <alignment horizontal="center" vertical="center"/>
      <protection locked="0"/>
    </xf>
    <xf numFmtId="165" fontId="41" fillId="0" borderId="9" xfId="0" applyNumberFormat="1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65" fontId="41" fillId="0" borderId="16" xfId="0" applyNumberFormat="1" applyFont="1" applyBorder="1" applyAlignment="1" applyProtection="1">
      <alignment horizontal="center" vertical="center" wrapText="1"/>
      <protection locked="0"/>
    </xf>
    <xf numFmtId="0" fontId="26" fillId="0" borderId="9" xfId="0" applyFont="1" applyBorder="1" applyAlignment="1" applyProtection="1">
      <alignment horizontal="center" vertical="center" wrapText="1"/>
      <protection locked="0"/>
    </xf>
    <xf numFmtId="165" fontId="0" fillId="0" borderId="8" xfId="0" applyNumberFormat="1" applyBorder="1" applyAlignment="1" applyProtection="1">
      <alignment horizontal="center" vertical="center"/>
      <protection locked="0"/>
    </xf>
    <xf numFmtId="165" fontId="0" fillId="0" borderId="12" xfId="0" applyNumberFormat="1" applyBorder="1" applyAlignment="1" applyProtection="1">
      <alignment horizontal="center" vertical="center"/>
      <protection locked="0"/>
    </xf>
    <xf numFmtId="0" fontId="1" fillId="14" borderId="8" xfId="0" applyFont="1" applyFill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39" fillId="11" borderId="8" xfId="0" applyFont="1" applyFill="1" applyBorder="1" applyAlignment="1" applyProtection="1">
      <alignment horizontal="center" vertical="center"/>
      <protection locked="0"/>
    </xf>
    <xf numFmtId="0" fontId="40" fillId="0" borderId="8" xfId="0" applyFont="1" applyBorder="1" applyAlignment="1" applyProtection="1">
      <alignment horizontal="center" vertical="center"/>
      <protection locked="0"/>
    </xf>
    <xf numFmtId="165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165" fontId="0" fillId="0" borderId="19" xfId="0" applyNumberFormat="1" applyBorder="1" applyAlignment="1" applyProtection="1">
      <alignment horizontal="center" vertical="center"/>
      <protection locked="0"/>
    </xf>
    <xf numFmtId="0" fontId="39" fillId="11" borderId="17" xfId="0" applyFont="1" applyFill="1" applyBorder="1" applyAlignment="1" applyProtection="1">
      <alignment horizontal="center" vertical="center"/>
      <protection locked="0"/>
    </xf>
    <xf numFmtId="165" fontId="41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165" fontId="41" fillId="0" borderId="12" xfId="0" applyNumberFormat="1" applyFont="1" applyBorder="1" applyAlignment="1" applyProtection="1">
      <alignment horizontal="center" vertical="center" wrapText="1"/>
      <protection locked="0"/>
    </xf>
    <xf numFmtId="0" fontId="26" fillId="0" borderId="8" xfId="0" applyFont="1" applyBorder="1" applyAlignment="1" applyProtection="1">
      <alignment horizontal="center" vertical="center" wrapText="1"/>
      <protection locked="0"/>
    </xf>
    <xf numFmtId="0" fontId="27" fillId="0" borderId="8" xfId="0" applyFont="1" applyBorder="1" applyAlignment="1" applyProtection="1">
      <alignment horizontal="center" vertical="center"/>
      <protection locked="0"/>
    </xf>
    <xf numFmtId="0" fontId="6" fillId="14" borderId="8" xfId="0" applyFont="1" applyFill="1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0" fontId="43" fillId="0" borderId="8" xfId="0" applyFont="1" applyBorder="1" applyAlignment="1" applyProtection="1">
      <alignment horizontal="center" vertical="center" wrapText="1"/>
      <protection locked="0"/>
    </xf>
    <xf numFmtId="165" fontId="15" fillId="0" borderId="5" xfId="0" applyNumberFormat="1" applyFont="1" applyBorder="1" applyAlignment="1">
      <alignment horizontal="center" vertical="center"/>
    </xf>
    <xf numFmtId="2" fontId="45" fillId="0" borderId="5" xfId="0" applyNumberFormat="1" applyFont="1" applyBorder="1" applyAlignment="1">
      <alignment horizontal="center"/>
    </xf>
    <xf numFmtId="165" fontId="15" fillId="0" borderId="5" xfId="0" applyNumberFormat="1" applyFont="1" applyBorder="1" applyAlignment="1">
      <alignment horizontal="center"/>
    </xf>
    <xf numFmtId="0" fontId="38" fillId="0" borderId="10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center" vertical="center"/>
      <protection locked="0"/>
    </xf>
    <xf numFmtId="165" fontId="41" fillId="0" borderId="20" xfId="0" applyNumberFormat="1" applyFont="1" applyBorder="1" applyAlignment="1" applyProtection="1">
      <alignment horizontal="center" vertical="center" wrapText="1"/>
      <protection locked="0"/>
    </xf>
    <xf numFmtId="165" fontId="0" fillId="0" borderId="20" xfId="0" applyNumberForma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165" fontId="46" fillId="0" borderId="0" xfId="0" applyNumberFormat="1" applyFont="1" applyAlignment="1">
      <alignment horizontal="center"/>
    </xf>
    <xf numFmtId="0" fontId="47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2" fontId="49" fillId="0" borderId="0" xfId="0" applyNumberFormat="1" applyFont="1" applyAlignment="1">
      <alignment horizontal="center"/>
    </xf>
    <xf numFmtId="165" fontId="46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/>
    </xf>
    <xf numFmtId="2" fontId="46" fillId="0" borderId="0" xfId="0" applyNumberFormat="1" applyFont="1" applyAlignment="1">
      <alignment horizontal="center"/>
    </xf>
    <xf numFmtId="165" fontId="15" fillId="0" borderId="21" xfId="0" applyNumberFormat="1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2" fontId="45" fillId="0" borderId="21" xfId="0" applyNumberFormat="1" applyFont="1" applyBorder="1" applyAlignment="1">
      <alignment horizontal="center"/>
    </xf>
    <xf numFmtId="165" fontId="15" fillId="0" borderId="21" xfId="0" applyNumberFormat="1" applyFont="1" applyBorder="1" applyAlignment="1">
      <alignment horizontal="center" vertical="center"/>
    </xf>
    <xf numFmtId="0" fontId="24" fillId="0" borderId="21" xfId="0" applyFont="1" applyBorder="1"/>
    <xf numFmtId="0" fontId="25" fillId="0" borderId="23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2" fontId="45" fillId="0" borderId="23" xfId="0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15" fillId="0" borderId="23" xfId="0" applyNumberFormat="1" applyFont="1" applyBorder="1" applyAlignment="1">
      <alignment horizontal="center" vertical="center"/>
    </xf>
    <xf numFmtId="0" fontId="24" fillId="0" borderId="23" xfId="0" applyFont="1" applyBorder="1"/>
    <xf numFmtId="165" fontId="46" fillId="0" borderId="23" xfId="0" applyNumberFormat="1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2" fontId="46" fillId="0" borderId="22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/>
    </xf>
    <xf numFmtId="165" fontId="15" fillId="0" borderId="24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 vertical="center"/>
    </xf>
    <xf numFmtId="2" fontId="49" fillId="0" borderId="23" xfId="0" applyNumberFormat="1" applyFont="1" applyBorder="1" applyAlignment="1">
      <alignment horizontal="center" vertical="center"/>
    </xf>
    <xf numFmtId="0" fontId="51" fillId="0" borderId="23" xfId="0" applyFont="1" applyBorder="1" applyAlignment="1">
      <alignment vertical="center"/>
    </xf>
    <xf numFmtId="2" fontId="55" fillId="0" borderId="5" xfId="0" applyNumberFormat="1" applyFont="1" applyBorder="1" applyAlignment="1">
      <alignment horizontal="center"/>
    </xf>
    <xf numFmtId="0" fontId="9" fillId="6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 wrapText="1"/>
    </xf>
    <xf numFmtId="0" fontId="56" fillId="6" borderId="7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57" fillId="0" borderId="23" xfId="0" applyFont="1" applyBorder="1" applyAlignment="1">
      <alignment vertical="center"/>
    </xf>
    <xf numFmtId="2" fontId="59" fillId="0" borderId="23" xfId="0" applyNumberFormat="1" applyFont="1" applyBorder="1" applyAlignment="1">
      <alignment horizontal="center"/>
    </xf>
    <xf numFmtId="0" fontId="25" fillId="0" borderId="5" xfId="0" applyFont="1" applyBorder="1" applyAlignment="1">
      <alignment horizontal="center" vertical="center"/>
    </xf>
    <xf numFmtId="2" fontId="45" fillId="0" borderId="5" xfId="0" applyNumberFormat="1" applyFont="1" applyBorder="1" applyAlignment="1">
      <alignment horizontal="center" vertical="center"/>
    </xf>
    <xf numFmtId="2" fontId="55" fillId="0" borderId="23" xfId="0" applyNumberFormat="1" applyFont="1" applyBorder="1" applyAlignment="1">
      <alignment horizontal="center"/>
    </xf>
    <xf numFmtId="165" fontId="33" fillId="0" borderId="7" xfId="0" applyNumberFormat="1" applyFont="1" applyBorder="1" applyAlignment="1">
      <alignment horizontal="center" vertical="center"/>
    </xf>
    <xf numFmtId="0" fontId="11" fillId="11" borderId="4" xfId="0" applyFont="1" applyFill="1" applyBorder="1" applyAlignment="1" applyProtection="1">
      <alignment horizontal="center" vertical="center"/>
      <protection locked="0"/>
    </xf>
    <xf numFmtId="0" fontId="57" fillId="0" borderId="8" xfId="0" applyFont="1" applyBorder="1" applyAlignment="1" applyProtection="1">
      <alignment horizontal="center" vertical="center"/>
      <protection locked="0"/>
    </xf>
    <xf numFmtId="2" fontId="0" fillId="0" borderId="0" xfId="0" applyNumberFormat="1"/>
    <xf numFmtId="0" fontId="11" fillId="5" borderId="29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/>
    </xf>
    <xf numFmtId="2" fontId="65" fillId="0" borderId="7" xfId="0" applyNumberFormat="1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33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33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8" xfId="0" applyFont="1" applyBorder="1" applyAlignment="1" applyProtection="1">
      <alignment horizontal="right" vertical="center"/>
      <protection locked="0"/>
    </xf>
    <xf numFmtId="0" fontId="57" fillId="0" borderId="8" xfId="0" applyFont="1" applyBorder="1" applyAlignment="1" applyProtection="1">
      <alignment horizontal="center" vertical="center" wrapText="1"/>
      <protection locked="0"/>
    </xf>
    <xf numFmtId="0" fontId="4" fillId="0" borderId="0" xfId="0" applyFont="1" applyProtection="1"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67" fillId="0" borderId="1" xfId="0" applyFont="1" applyBorder="1" applyAlignment="1" applyProtection="1">
      <alignment horizontal="right" vertical="center"/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1" fillId="0" borderId="36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 applyProtection="1">
      <alignment horizontal="center" vertical="center" wrapText="1"/>
      <protection locked="0"/>
    </xf>
    <xf numFmtId="0" fontId="71" fillId="0" borderId="36" xfId="0" applyFont="1" applyBorder="1" applyAlignment="1">
      <alignment horizontal="center" vertical="center"/>
    </xf>
    <xf numFmtId="0" fontId="73" fillId="0" borderId="36" xfId="0" applyFont="1" applyBorder="1" applyAlignment="1" applyProtection="1">
      <alignment horizontal="center" vertical="center" wrapText="1"/>
      <protection locked="0"/>
    </xf>
    <xf numFmtId="0" fontId="74" fillId="0" borderId="36" xfId="0" applyFont="1" applyBorder="1" applyAlignment="1" applyProtection="1">
      <alignment horizontal="center" vertical="center"/>
      <protection locked="0"/>
    </xf>
    <xf numFmtId="16" fontId="5" fillId="0" borderId="36" xfId="0" applyNumberFormat="1" applyFont="1" applyBorder="1" applyAlignment="1">
      <alignment horizontal="center" vertical="center"/>
    </xf>
    <xf numFmtId="165" fontId="33" fillId="0" borderId="36" xfId="0" applyNumberFormat="1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 wrapText="1"/>
    </xf>
    <xf numFmtId="0" fontId="2" fillId="0" borderId="36" xfId="0" applyFont="1" applyBorder="1" applyAlignment="1" applyProtection="1">
      <alignment horizontal="center" vertical="center"/>
      <protection locked="0"/>
    </xf>
    <xf numFmtId="2" fontId="33" fillId="0" borderId="36" xfId="0" applyNumberFormat="1" applyFont="1" applyBorder="1" applyAlignment="1">
      <alignment horizontal="center" vertical="center"/>
    </xf>
    <xf numFmtId="2" fontId="14" fillId="0" borderId="36" xfId="0" applyNumberFormat="1" applyFont="1" applyBorder="1" applyAlignment="1" applyProtection="1">
      <alignment horizontal="center" vertical="center"/>
      <protection locked="0"/>
    </xf>
    <xf numFmtId="0" fontId="10" fillId="0" borderId="36" xfId="0" applyFont="1" applyBorder="1" applyAlignment="1">
      <alignment horizontal="center" vertical="center"/>
    </xf>
    <xf numFmtId="16" fontId="2" fillId="0" borderId="36" xfId="0" applyNumberFormat="1" applyFont="1" applyBorder="1" applyAlignment="1">
      <alignment horizontal="center" vertical="center"/>
    </xf>
    <xf numFmtId="2" fontId="75" fillId="0" borderId="36" xfId="0" applyNumberFormat="1" applyFont="1" applyBorder="1" applyAlignment="1" applyProtection="1">
      <alignment horizontal="center" vertical="center"/>
      <protection hidden="1"/>
    </xf>
    <xf numFmtId="0" fontId="0" fillId="0" borderId="36" xfId="0" applyBorder="1" applyProtection="1">
      <protection locked="0"/>
    </xf>
    <xf numFmtId="0" fontId="2" fillId="15" borderId="36" xfId="0" applyFont="1" applyFill="1" applyBorder="1" applyAlignment="1">
      <alignment horizontal="center" vertical="center"/>
    </xf>
    <xf numFmtId="0" fontId="2" fillId="0" borderId="36" xfId="0" applyFont="1" applyBorder="1" applyAlignment="1" applyProtection="1">
      <alignment horizontal="center" vertical="center" wrapText="1"/>
      <protection locked="0"/>
    </xf>
    <xf numFmtId="0" fontId="2" fillId="0" borderId="36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/>
    </xf>
    <xf numFmtId="2" fontId="77" fillId="0" borderId="36" xfId="0" applyNumberFormat="1" applyFont="1" applyBorder="1" applyAlignment="1">
      <alignment horizontal="center" vertical="center"/>
    </xf>
    <xf numFmtId="16" fontId="23" fillId="0" borderId="36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87" fillId="0" borderId="6" xfId="0" applyFont="1" applyBorder="1"/>
    <xf numFmtId="0" fontId="0" fillId="0" borderId="6" xfId="0" applyBorder="1"/>
    <xf numFmtId="0" fontId="42" fillId="0" borderId="6" xfId="0" applyFont="1" applyBorder="1" applyAlignment="1">
      <alignment vertical="center"/>
    </xf>
    <xf numFmtId="0" fontId="88" fillId="0" borderId="6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>
      <alignment horizontal="center"/>
    </xf>
    <xf numFmtId="2" fontId="89" fillId="0" borderId="6" xfId="0" applyNumberFormat="1" applyFont="1" applyBorder="1" applyAlignment="1">
      <alignment horizontal="center"/>
    </xf>
    <xf numFmtId="2" fontId="89" fillId="0" borderId="6" xfId="0" applyNumberFormat="1" applyFont="1" applyBorder="1"/>
    <xf numFmtId="2" fontId="90" fillId="0" borderId="6" xfId="0" applyNumberFormat="1" applyFont="1" applyBorder="1" applyAlignment="1">
      <alignment vertical="center"/>
    </xf>
    <xf numFmtId="0" fontId="7" fillId="10" borderId="26" xfId="0" applyFont="1" applyFill="1" applyBorder="1" applyAlignment="1" applyProtection="1">
      <alignment horizontal="center" vertical="center"/>
      <protection locked="0"/>
    </xf>
    <xf numFmtId="0" fontId="12" fillId="2" borderId="26" xfId="0" applyFont="1" applyFill="1" applyBorder="1" applyAlignment="1" applyProtection="1">
      <alignment horizontal="center" vertical="center"/>
      <protection locked="0"/>
    </xf>
    <xf numFmtId="0" fontId="7" fillId="9" borderId="26" xfId="0" applyFont="1" applyFill="1" applyBorder="1" applyAlignment="1" applyProtection="1">
      <alignment horizontal="center" vertical="center"/>
      <protection locked="0"/>
    </xf>
    <xf numFmtId="0" fontId="84" fillId="19" borderId="26" xfId="0" applyFont="1" applyFill="1" applyBorder="1" applyAlignment="1">
      <alignment horizontal="center"/>
    </xf>
    <xf numFmtId="0" fontId="81" fillId="0" borderId="32" xfId="0" applyFont="1" applyBorder="1" applyAlignment="1">
      <alignment horizontal="center"/>
    </xf>
    <xf numFmtId="0" fontId="82" fillId="0" borderId="32" xfId="0" applyFont="1" applyBorder="1" applyAlignment="1">
      <alignment horizontal="center"/>
    </xf>
    <xf numFmtId="1" fontId="83" fillId="0" borderId="32" xfId="0" applyNumberFormat="1" applyFont="1" applyBorder="1" applyAlignment="1">
      <alignment horizontal="center"/>
    </xf>
    <xf numFmtId="0" fontId="84" fillId="0" borderId="32" xfId="0" applyFont="1" applyBorder="1" applyAlignment="1">
      <alignment horizontal="center"/>
    </xf>
    <xf numFmtId="1" fontId="86" fillId="0" borderId="32" xfId="0" applyNumberFormat="1" applyFont="1" applyBorder="1" applyAlignment="1">
      <alignment horizontal="center"/>
    </xf>
    <xf numFmtId="0" fontId="0" fillId="0" borderId="30" xfId="0" applyBorder="1"/>
    <xf numFmtId="0" fontId="79" fillId="0" borderId="26" xfId="0" applyFont="1" applyBorder="1"/>
    <xf numFmtId="0" fontId="0" fillId="0" borderId="26" xfId="0" applyBorder="1"/>
    <xf numFmtId="0" fontId="100" fillId="0" borderId="26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1" fillId="0" borderId="26" xfId="0" applyFont="1" applyBorder="1" applyAlignment="1">
      <alignment horizontal="center" vertical="center" wrapText="1"/>
    </xf>
    <xf numFmtId="0" fontId="79" fillId="0" borderId="26" xfId="0" applyFont="1" applyBorder="1" applyAlignment="1">
      <alignment horizontal="center" vertical="center" wrapText="1"/>
    </xf>
    <xf numFmtId="0" fontId="10" fillId="0" borderId="26" xfId="0" applyFont="1" applyBorder="1" applyAlignment="1">
      <alignment vertical="center" wrapText="1"/>
    </xf>
    <xf numFmtId="49" fontId="0" fillId="0" borderId="0" xfId="0" applyNumberFormat="1"/>
    <xf numFmtId="2" fontId="104" fillId="0" borderId="8" xfId="0" applyNumberFormat="1" applyFont="1" applyBorder="1" applyAlignment="1" applyProtection="1">
      <alignment horizontal="center" vertical="center"/>
      <protection locked="0"/>
    </xf>
    <xf numFmtId="2" fontId="104" fillId="0" borderId="10" xfId="0" applyNumberFormat="1" applyFont="1" applyBorder="1" applyAlignment="1" applyProtection="1">
      <alignment horizontal="center" vertical="center"/>
      <protection locked="0"/>
    </xf>
    <xf numFmtId="2" fontId="104" fillId="0" borderId="8" xfId="0" applyNumberFormat="1" applyFont="1" applyBorder="1" applyAlignment="1" applyProtection="1">
      <alignment horizontal="center" vertical="center"/>
      <protection hidden="1"/>
    </xf>
    <xf numFmtId="0" fontId="104" fillId="0" borderId="8" xfId="0" applyFont="1" applyBorder="1" applyAlignment="1" applyProtection="1">
      <alignment horizontal="center" vertical="center"/>
      <protection locked="0"/>
    </xf>
    <xf numFmtId="0" fontId="107" fillId="14" borderId="8" xfId="0" applyFont="1" applyFill="1" applyBorder="1" applyAlignment="1" applyProtection="1">
      <alignment horizontal="center" vertical="center"/>
      <protection locked="0"/>
    </xf>
    <xf numFmtId="2" fontId="107" fillId="15" borderId="8" xfId="0" applyNumberFormat="1" applyFont="1" applyFill="1" applyBorder="1" applyAlignment="1" applyProtection="1">
      <alignment horizontal="center" vertical="center"/>
      <protection locked="0"/>
    </xf>
    <xf numFmtId="2" fontId="107" fillId="15" borderId="10" xfId="0" applyNumberFormat="1" applyFont="1" applyFill="1" applyBorder="1" applyAlignment="1" applyProtection="1">
      <alignment horizontal="center" vertical="center"/>
      <protection hidden="1"/>
    </xf>
    <xf numFmtId="0" fontId="107" fillId="0" borderId="8" xfId="0" applyFont="1" applyBorder="1" applyAlignment="1" applyProtection="1">
      <alignment horizontal="center" vertical="center"/>
      <protection locked="0"/>
    </xf>
    <xf numFmtId="2" fontId="107" fillId="0" borderId="8" xfId="0" applyNumberFormat="1" applyFont="1" applyBorder="1" applyAlignment="1" applyProtection="1">
      <alignment horizontal="center" vertical="center"/>
      <protection locked="0"/>
    </xf>
    <xf numFmtId="2" fontId="107" fillId="0" borderId="10" xfId="0" applyNumberFormat="1" applyFont="1" applyBorder="1" applyAlignment="1" applyProtection="1">
      <alignment horizontal="center" vertical="center"/>
      <protection locked="0"/>
    </xf>
    <xf numFmtId="2" fontId="107" fillId="8" borderId="8" xfId="0" applyNumberFormat="1" applyFont="1" applyFill="1" applyBorder="1" applyAlignment="1" applyProtection="1">
      <alignment horizontal="center" vertical="center"/>
      <protection locked="0"/>
    </xf>
    <xf numFmtId="2" fontId="104" fillId="0" borderId="10" xfId="0" applyNumberFormat="1" applyFont="1" applyBorder="1" applyAlignment="1" applyProtection="1">
      <alignment horizontal="center" vertical="center"/>
      <protection hidden="1"/>
    </xf>
    <xf numFmtId="2" fontId="107" fillId="0" borderId="10" xfId="0" applyNumberFormat="1" applyFont="1" applyBorder="1" applyAlignment="1" applyProtection="1">
      <alignment horizontal="center" vertical="center"/>
      <protection hidden="1"/>
    </xf>
    <xf numFmtId="2" fontId="104" fillId="0" borderId="13" xfId="0" applyNumberFormat="1" applyFont="1" applyBorder="1" applyAlignment="1" applyProtection="1">
      <alignment horizontal="center" vertical="center"/>
      <protection locked="0"/>
    </xf>
    <xf numFmtId="2" fontId="107" fillId="0" borderId="13" xfId="0" applyNumberFormat="1" applyFont="1" applyBorder="1" applyAlignment="1" applyProtection="1">
      <alignment horizontal="center" vertical="center"/>
      <protection hidden="1"/>
    </xf>
    <xf numFmtId="2" fontId="107" fillId="0" borderId="13" xfId="0" applyNumberFormat="1" applyFont="1" applyBorder="1" applyAlignment="1" applyProtection="1">
      <alignment horizontal="center" vertical="center"/>
      <protection locked="0"/>
    </xf>
    <xf numFmtId="2" fontId="104" fillId="0" borderId="13" xfId="0" applyNumberFormat="1" applyFont="1" applyBorder="1" applyAlignment="1" applyProtection="1">
      <alignment horizontal="center" vertical="center"/>
      <protection hidden="1"/>
    </xf>
    <xf numFmtId="0" fontId="109" fillId="0" borderId="8" xfId="0" applyFont="1" applyBorder="1" applyAlignment="1" applyProtection="1">
      <alignment horizontal="center" vertical="center" wrapText="1"/>
      <protection locked="0"/>
    </xf>
    <xf numFmtId="2" fontId="110" fillId="8" borderId="8" xfId="0" applyNumberFormat="1" applyFont="1" applyFill="1" applyBorder="1" applyAlignment="1" applyProtection="1">
      <alignment horizontal="center" vertical="center"/>
      <protection locked="0"/>
    </xf>
    <xf numFmtId="2" fontId="110" fillId="8" borderId="10" xfId="0" applyNumberFormat="1" applyFont="1" applyFill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vertical="center"/>
      <protection locked="0"/>
    </xf>
    <xf numFmtId="2" fontId="105" fillId="5" borderId="8" xfId="0" applyNumberFormat="1" applyFont="1" applyFill="1" applyBorder="1" applyAlignment="1" applyProtection="1">
      <alignment horizontal="center" vertical="center"/>
      <protection hidden="1"/>
    </xf>
    <xf numFmtId="2" fontId="108" fillId="15" borderId="8" xfId="0" applyNumberFormat="1" applyFont="1" applyFill="1" applyBorder="1" applyAlignment="1" applyProtection="1">
      <alignment horizontal="center" vertical="center"/>
      <protection hidden="1"/>
    </xf>
    <xf numFmtId="2" fontId="106" fillId="15" borderId="8" xfId="0" applyNumberFormat="1" applyFont="1" applyFill="1" applyBorder="1" applyAlignment="1" applyProtection="1">
      <alignment horizontal="center" vertical="center"/>
      <protection hidden="1"/>
    </xf>
    <xf numFmtId="2" fontId="105" fillId="6" borderId="8" xfId="0" applyNumberFormat="1" applyFont="1" applyFill="1" applyBorder="1" applyAlignment="1" applyProtection="1">
      <alignment horizontal="center" vertical="center"/>
      <protection hidden="1"/>
    </xf>
    <xf numFmtId="0" fontId="74" fillId="0" borderId="41" xfId="0" applyFont="1" applyBorder="1" applyAlignment="1" applyProtection="1">
      <alignment horizontal="center" vertical="center"/>
      <protection locked="0"/>
    </xf>
    <xf numFmtId="165" fontId="33" fillId="0" borderId="41" xfId="0" applyNumberFormat="1" applyFont="1" applyBorder="1" applyAlignment="1">
      <alignment horizontal="center" vertical="center"/>
    </xf>
    <xf numFmtId="0" fontId="2" fillId="0" borderId="41" xfId="0" applyFont="1" applyBorder="1" applyAlignment="1" applyProtection="1">
      <alignment horizontal="center" vertical="center"/>
      <protection locked="0"/>
    </xf>
    <xf numFmtId="0" fontId="100" fillId="0" borderId="7" xfId="0" applyFont="1" applyBorder="1" applyAlignment="1">
      <alignment horizontal="center" vertical="center" wrapText="1"/>
    </xf>
    <xf numFmtId="0" fontId="96" fillId="6" borderId="26" xfId="0" applyFont="1" applyFill="1" applyBorder="1" applyAlignment="1" applyProtection="1">
      <alignment horizontal="center" vertical="center"/>
      <protection locked="0"/>
    </xf>
    <xf numFmtId="49" fontId="115" fillId="20" borderId="26" xfId="0" applyNumberFormat="1" applyFont="1" applyFill="1" applyBorder="1" applyAlignment="1">
      <alignment horizontal="center"/>
    </xf>
    <xf numFmtId="0" fontId="5" fillId="0" borderId="0" xfId="0" applyFont="1" applyAlignment="1">
      <alignment vertical="center"/>
    </xf>
    <xf numFmtId="0" fontId="117" fillId="0" borderId="34" xfId="0" applyFont="1" applyBorder="1"/>
    <xf numFmtId="0" fontId="4" fillId="0" borderId="30" xfId="0" applyFont="1" applyBorder="1"/>
    <xf numFmtId="0" fontId="0" fillId="0" borderId="35" xfId="0" applyBorder="1"/>
    <xf numFmtId="166" fontId="33" fillId="0" borderId="7" xfId="0" applyNumberFormat="1" applyFont="1" applyBorder="1" applyAlignment="1">
      <alignment horizontal="center" vertical="center"/>
    </xf>
    <xf numFmtId="0" fontId="109" fillId="0" borderId="12" xfId="0" applyFont="1" applyBorder="1" applyAlignment="1" applyProtection="1">
      <alignment horizontal="center" vertical="center" wrapText="1"/>
      <protection locked="0"/>
    </xf>
    <xf numFmtId="0" fontId="26" fillId="0" borderId="10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2" fontId="109" fillId="0" borderId="12" xfId="0" applyNumberFormat="1" applyFont="1" applyBorder="1" applyAlignment="1" applyProtection="1">
      <alignment horizontal="center" vertical="center"/>
      <protection locked="0"/>
    </xf>
    <xf numFmtId="0" fontId="39" fillId="11" borderId="10" xfId="0" applyFont="1" applyFill="1" applyBorder="1" applyAlignment="1" applyProtection="1">
      <alignment horizontal="center" vertical="center"/>
      <protection locked="0"/>
    </xf>
    <xf numFmtId="0" fontId="40" fillId="0" borderId="12" xfId="0" applyFont="1" applyBorder="1" applyAlignment="1" applyProtection="1">
      <alignment horizontal="center" vertical="center"/>
      <protection locked="0"/>
    </xf>
    <xf numFmtId="0" fontId="39" fillId="11" borderId="47" xfId="0" applyFont="1" applyFill="1" applyBorder="1" applyAlignment="1" applyProtection="1">
      <alignment horizontal="center" vertical="center"/>
      <protection locked="0"/>
    </xf>
    <xf numFmtId="0" fontId="27" fillId="0" borderId="10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166" fontId="120" fillId="15" borderId="10" xfId="0" applyNumberFormat="1" applyFont="1" applyFill="1" applyBorder="1" applyAlignment="1" applyProtection="1">
      <alignment horizontal="center" vertical="center"/>
      <protection hidden="1"/>
    </xf>
    <xf numFmtId="0" fontId="58" fillId="0" borderId="8" xfId="0" applyFont="1" applyBorder="1" applyAlignment="1" applyProtection="1">
      <alignment horizontal="right" vertical="center"/>
      <protection locked="0"/>
    </xf>
    <xf numFmtId="166" fontId="120" fillId="0" borderId="10" xfId="0" applyNumberFormat="1" applyFont="1" applyBorder="1" applyAlignment="1" applyProtection="1">
      <alignment horizontal="center" vertical="center"/>
      <protection hidden="1"/>
    </xf>
    <xf numFmtId="164" fontId="109" fillId="0" borderId="12" xfId="0" applyNumberFormat="1" applyFont="1" applyBorder="1" applyAlignment="1" applyProtection="1">
      <alignment horizontal="center" vertical="center" wrapText="1"/>
      <protection locked="0"/>
    </xf>
    <xf numFmtId="0" fontId="25" fillId="0" borderId="21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2" fontId="45" fillId="0" borderId="21" xfId="0" applyNumberFormat="1" applyFont="1" applyBorder="1" applyAlignment="1">
      <alignment horizontal="center" vertical="center"/>
    </xf>
    <xf numFmtId="0" fontId="56" fillId="0" borderId="7" xfId="0" applyFont="1" applyBorder="1" applyAlignment="1">
      <alignment horizontal="center" vertical="center"/>
    </xf>
    <xf numFmtId="166" fontId="33" fillId="0" borderId="7" xfId="0" applyNumberFormat="1" applyFont="1" applyBorder="1" applyAlignment="1">
      <alignment horizontal="center" vertical="center" wrapText="1"/>
    </xf>
    <xf numFmtId="165" fontId="25" fillId="0" borderId="49" xfId="0" applyNumberFormat="1" applyFont="1" applyBorder="1" applyAlignment="1">
      <alignment vertical="center"/>
    </xf>
    <xf numFmtId="164" fontId="23" fillId="0" borderId="48" xfId="0" applyNumberFormat="1" applyFont="1" applyBorder="1" applyAlignment="1">
      <alignment horizontal="center" vertical="top" wrapText="1"/>
    </xf>
    <xf numFmtId="165" fontId="25" fillId="0" borderId="54" xfId="0" applyNumberFormat="1" applyFont="1" applyBorder="1" applyAlignment="1">
      <alignment vertical="center"/>
    </xf>
    <xf numFmtId="164" fontId="23" fillId="0" borderId="55" xfId="0" applyNumberFormat="1" applyFont="1" applyBorder="1" applyAlignment="1">
      <alignment horizontal="center" vertical="top" wrapText="1"/>
    </xf>
    <xf numFmtId="165" fontId="25" fillId="0" borderId="56" xfId="0" applyNumberFormat="1" applyFont="1" applyBorder="1" applyAlignment="1">
      <alignment vertical="center"/>
    </xf>
    <xf numFmtId="164" fontId="23" fillId="0" borderId="57" xfId="0" applyNumberFormat="1" applyFont="1" applyBorder="1" applyAlignment="1">
      <alignment horizontal="center" vertical="top" wrapText="1"/>
    </xf>
    <xf numFmtId="165" fontId="1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2" fontId="45" fillId="0" borderId="0" xfId="0" applyNumberFormat="1" applyFont="1" applyAlignment="1">
      <alignment horizontal="center"/>
    </xf>
    <xf numFmtId="2" fontId="55" fillId="0" borderId="0" xfId="0" applyNumberFormat="1" applyFont="1" applyAlignment="1">
      <alignment horizontal="center"/>
    </xf>
    <xf numFmtId="0" fontId="47" fillId="0" borderId="23" xfId="0" applyFont="1" applyBorder="1" applyAlignment="1">
      <alignment horizontal="center" vertical="center"/>
    </xf>
    <xf numFmtId="165" fontId="50" fillId="0" borderId="23" xfId="0" applyNumberFormat="1" applyFont="1" applyBorder="1" applyAlignment="1">
      <alignment horizontal="center" vertical="center"/>
    </xf>
    <xf numFmtId="2" fontId="47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37" fillId="0" borderId="0" xfId="0" applyFont="1" applyProtection="1">
      <protection locked="0"/>
    </xf>
    <xf numFmtId="0" fontId="0" fillId="0" borderId="8" xfId="0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 wrapText="1"/>
    </xf>
    <xf numFmtId="165" fontId="15" fillId="0" borderId="8" xfId="0" applyNumberFormat="1" applyFont="1" applyBorder="1" applyAlignment="1">
      <alignment horizontal="center" vertical="center"/>
    </xf>
    <xf numFmtId="0" fontId="25" fillId="0" borderId="8" xfId="0" applyFont="1" applyBorder="1" applyAlignment="1">
      <alignment horizontal="center"/>
    </xf>
    <xf numFmtId="0" fontId="23" fillId="0" borderId="8" xfId="0" applyFont="1" applyBorder="1" applyAlignment="1">
      <alignment horizontal="center"/>
    </xf>
    <xf numFmtId="2" fontId="45" fillId="0" borderId="8" xfId="0" applyNumberFormat="1" applyFont="1" applyBorder="1" applyAlignment="1">
      <alignment horizontal="center"/>
    </xf>
    <xf numFmtId="165" fontId="15" fillId="0" borderId="8" xfId="0" applyNumberFormat="1" applyFont="1" applyBorder="1" applyAlignment="1">
      <alignment horizontal="center"/>
    </xf>
    <xf numFmtId="0" fontId="25" fillId="0" borderId="8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2" fontId="45" fillId="0" borderId="8" xfId="0" applyNumberFormat="1" applyFont="1" applyBorder="1" applyAlignment="1">
      <alignment horizontal="center" vertical="center"/>
    </xf>
    <xf numFmtId="0" fontId="24" fillId="0" borderId="8" xfId="0" applyFont="1" applyBorder="1"/>
    <xf numFmtId="165" fontId="50" fillId="0" borderId="8" xfId="0" applyNumberFormat="1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8" fillId="0" borderId="8" xfId="0" applyFont="1" applyBorder="1" applyAlignment="1">
      <alignment horizontal="center" vertical="center"/>
    </xf>
    <xf numFmtId="2" fontId="47" fillId="0" borderId="8" xfId="0" applyNumberFormat="1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2" fontId="50" fillId="0" borderId="8" xfId="0" applyNumberFormat="1" applyFont="1" applyBorder="1" applyAlignment="1">
      <alignment horizontal="center" vertical="center"/>
    </xf>
    <xf numFmtId="165" fontId="46" fillId="0" borderId="8" xfId="0" applyNumberFormat="1" applyFont="1" applyBorder="1" applyAlignment="1">
      <alignment horizontal="center"/>
    </xf>
    <xf numFmtId="0" fontId="47" fillId="0" borderId="8" xfId="0" applyFont="1" applyBorder="1" applyAlignment="1">
      <alignment horizontal="center"/>
    </xf>
    <xf numFmtId="0" fontId="48" fillId="0" borderId="8" xfId="0" applyFont="1" applyBorder="1" applyAlignment="1">
      <alignment horizontal="center"/>
    </xf>
    <xf numFmtId="2" fontId="49" fillId="0" borderId="8" xfId="0" applyNumberFormat="1" applyFont="1" applyBorder="1" applyAlignment="1">
      <alignment horizontal="center"/>
    </xf>
    <xf numFmtId="165" fontId="46" fillId="0" borderId="8" xfId="0" applyNumberFormat="1" applyFont="1" applyBorder="1" applyAlignment="1">
      <alignment horizontal="center" vertical="center"/>
    </xf>
    <xf numFmtId="0" fontId="50" fillId="0" borderId="8" xfId="0" applyFont="1" applyBorder="1" applyAlignment="1">
      <alignment horizontal="center"/>
    </xf>
    <xf numFmtId="2" fontId="46" fillId="0" borderId="8" xfId="0" applyNumberFormat="1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4" fillId="0" borderId="8" xfId="0" applyFont="1" applyBorder="1" applyAlignment="1">
      <alignment horizontal="center"/>
    </xf>
    <xf numFmtId="0" fontId="23" fillId="0" borderId="8" xfId="0" applyFont="1" applyBorder="1"/>
    <xf numFmtId="0" fontId="51" fillId="0" borderId="8" xfId="0" applyFont="1" applyBorder="1" applyAlignment="1">
      <alignment vertical="center"/>
    </xf>
    <xf numFmtId="0" fontId="0" fillId="0" borderId="8" xfId="0" applyBorder="1"/>
    <xf numFmtId="166" fontId="111" fillId="0" borderId="10" xfId="0" applyNumberFormat="1" applyFont="1" applyBorder="1" applyAlignment="1" applyProtection="1">
      <alignment horizontal="center" vertical="center"/>
      <protection hidden="1"/>
    </xf>
    <xf numFmtId="0" fontId="43" fillId="0" borderId="8" xfId="0" applyFont="1" applyBorder="1" applyAlignment="1" applyProtection="1">
      <alignment horizontal="center" vertical="top" wrapText="1"/>
      <protection locked="0"/>
    </xf>
    <xf numFmtId="0" fontId="0" fillId="0" borderId="58" xfId="0" applyBorder="1"/>
    <xf numFmtId="0" fontId="36" fillId="0" borderId="0" xfId="0" applyFont="1" applyProtection="1">
      <protection locked="0"/>
    </xf>
    <xf numFmtId="0" fontId="0" fillId="0" borderId="65" xfId="0" applyBorder="1"/>
    <xf numFmtId="0" fontId="30" fillId="5" borderId="65" xfId="0" applyFont="1" applyFill="1" applyBorder="1" applyAlignment="1">
      <alignment horizontal="center" vertical="center"/>
    </xf>
    <xf numFmtId="0" fontId="31" fillId="5" borderId="65" xfId="0" applyFont="1" applyFill="1" applyBorder="1" applyAlignment="1">
      <alignment horizontal="center" vertical="center" wrapText="1"/>
    </xf>
    <xf numFmtId="0" fontId="31" fillId="5" borderId="65" xfId="0" applyFont="1" applyFill="1" applyBorder="1" applyAlignment="1">
      <alignment horizontal="center" vertical="center"/>
    </xf>
    <xf numFmtId="0" fontId="33" fillId="5" borderId="65" xfId="0" applyFont="1" applyFill="1" applyBorder="1" applyAlignment="1">
      <alignment horizontal="center" vertical="center"/>
    </xf>
    <xf numFmtId="0" fontId="33" fillId="0" borderId="65" xfId="0" applyFont="1" applyBorder="1" applyAlignment="1">
      <alignment horizontal="center" vertical="center"/>
    </xf>
    <xf numFmtId="166" fontId="126" fillId="0" borderId="65" xfId="0" applyNumberFormat="1" applyFont="1" applyBorder="1" applyAlignment="1">
      <alignment horizontal="center" vertical="center"/>
    </xf>
    <xf numFmtId="165" fontId="33" fillId="0" borderId="65" xfId="0" applyNumberFormat="1" applyFont="1" applyBorder="1" applyAlignment="1">
      <alignment horizontal="center" vertical="center"/>
    </xf>
    <xf numFmtId="0" fontId="10" fillId="0" borderId="65" xfId="0" applyFont="1" applyBorder="1" applyAlignment="1">
      <alignment horizontal="center" vertical="center" wrapText="1"/>
    </xf>
    <xf numFmtId="0" fontId="100" fillId="0" borderId="65" xfId="0" applyFont="1" applyBorder="1" applyAlignment="1" applyProtection="1">
      <alignment horizontal="center" vertical="center"/>
      <protection locked="0"/>
    </xf>
    <xf numFmtId="2" fontId="33" fillId="0" borderId="65" xfId="0" applyNumberFormat="1" applyFont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10" fillId="0" borderId="65" xfId="0" applyFont="1" applyBorder="1" applyAlignment="1">
      <alignment horizontal="center" vertical="center"/>
    </xf>
    <xf numFmtId="0" fontId="10" fillId="0" borderId="65" xfId="0" applyFont="1" applyBorder="1" applyAlignment="1" applyProtection="1">
      <alignment horizontal="center" vertical="center"/>
      <protection locked="0"/>
    </xf>
    <xf numFmtId="0" fontId="2" fillId="0" borderId="65" xfId="0" applyFont="1" applyBorder="1" applyAlignment="1">
      <alignment horizontal="center" vertical="center"/>
    </xf>
    <xf numFmtId="0" fontId="10" fillId="0" borderId="65" xfId="0" applyFont="1" applyBorder="1" applyAlignment="1" applyProtection="1">
      <alignment horizontal="center" vertical="center" wrapText="1"/>
      <protection locked="0"/>
    </xf>
    <xf numFmtId="165" fontId="33" fillId="0" borderId="7" xfId="0" applyNumberFormat="1" applyFont="1" applyBorder="1" applyAlignment="1">
      <alignment horizontal="center" vertical="center" wrapText="1"/>
    </xf>
    <xf numFmtId="2" fontId="110" fillId="15" borderId="8" xfId="0" applyNumberFormat="1" applyFont="1" applyFill="1" applyBorder="1" applyAlignment="1" applyProtection="1">
      <alignment horizontal="center" vertical="center"/>
      <protection locked="0"/>
    </xf>
    <xf numFmtId="2" fontId="110" fillId="15" borderId="10" xfId="0" applyNumberFormat="1" applyFont="1" applyFill="1" applyBorder="1" applyAlignment="1" applyProtection="1">
      <alignment horizontal="center" vertical="center"/>
      <protection hidden="1"/>
    </xf>
    <xf numFmtId="2" fontId="110" fillId="0" borderId="8" xfId="0" applyNumberFormat="1" applyFont="1" applyBorder="1" applyAlignment="1" applyProtection="1">
      <alignment horizontal="center" vertical="center"/>
      <protection locked="0"/>
    </xf>
    <xf numFmtId="2" fontId="110" fillId="0" borderId="10" xfId="0" applyNumberFormat="1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right" vertical="center"/>
      <protection locked="0"/>
    </xf>
    <xf numFmtId="2" fontId="127" fillId="0" borderId="6" xfId="0" applyNumberFormat="1" applyFont="1" applyBorder="1" applyAlignment="1">
      <alignment horizontal="center"/>
    </xf>
    <xf numFmtId="2" fontId="128" fillId="0" borderId="6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horizontal="center" vertical="center"/>
    </xf>
    <xf numFmtId="0" fontId="33" fillId="0" borderId="66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10" fillId="0" borderId="66" xfId="0" applyFont="1" applyBorder="1" applyAlignment="1" applyProtection="1">
      <alignment horizontal="center" vertical="center"/>
      <protection locked="0"/>
    </xf>
    <xf numFmtId="2" fontId="33" fillId="0" borderId="66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/>
      <protection locked="0"/>
    </xf>
    <xf numFmtId="0" fontId="39" fillId="0" borderId="8" xfId="0" applyFont="1" applyBorder="1" applyAlignment="1" applyProtection="1">
      <alignment horizontal="center" vertical="center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2" fontId="105" fillId="0" borderId="8" xfId="0" applyNumberFormat="1" applyFont="1" applyBorder="1" applyAlignment="1" applyProtection="1">
      <alignment horizontal="center" vertical="center"/>
      <protection hidden="1"/>
    </xf>
    <xf numFmtId="2" fontId="106" fillId="0" borderId="8" xfId="0" applyNumberFormat="1" applyFont="1" applyBorder="1" applyAlignment="1" applyProtection="1">
      <alignment horizontal="center" vertical="center"/>
      <protection hidden="1"/>
    </xf>
    <xf numFmtId="165" fontId="133" fillId="0" borderId="0" xfId="0" applyNumberFormat="1" applyFont="1" applyAlignment="1" applyProtection="1">
      <alignment vertical="center" wrapText="1"/>
      <protection locked="0"/>
    </xf>
    <xf numFmtId="2" fontId="47" fillId="0" borderId="23" xfId="0" applyNumberFormat="1" applyFont="1" applyBorder="1" applyAlignment="1">
      <alignment horizontal="center"/>
    </xf>
    <xf numFmtId="2" fontId="134" fillId="0" borderId="23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" fontId="2" fillId="0" borderId="41" xfId="0" applyNumberFormat="1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 wrapText="1"/>
    </xf>
    <xf numFmtId="2" fontId="76" fillId="0" borderId="41" xfId="0" applyNumberFormat="1" applyFont="1" applyBorder="1" applyAlignment="1">
      <alignment horizontal="center" vertical="center"/>
    </xf>
    <xf numFmtId="0" fontId="0" fillId="0" borderId="41" xfId="0" applyBorder="1" applyProtection="1">
      <protection locked="0"/>
    </xf>
    <xf numFmtId="166" fontId="126" fillId="0" borderId="36" xfId="0" applyNumberFormat="1" applyFont="1" applyBorder="1" applyAlignment="1">
      <alignment horizontal="center" vertical="center"/>
    </xf>
    <xf numFmtId="0" fontId="100" fillId="0" borderId="36" xfId="0" applyFont="1" applyBorder="1" applyAlignment="1" applyProtection="1">
      <alignment horizontal="center" vertical="center"/>
      <protection locked="0"/>
    </xf>
    <xf numFmtId="0" fontId="10" fillId="0" borderId="36" xfId="0" applyFont="1" applyBorder="1" applyAlignment="1" applyProtection="1">
      <alignment horizontal="center" vertical="center"/>
      <protection locked="0"/>
    </xf>
    <xf numFmtId="0" fontId="10" fillId="0" borderId="36" xfId="0" applyFont="1" applyBorder="1" applyAlignment="1" applyProtection="1">
      <alignment horizontal="center" vertical="center" wrapText="1"/>
      <protection locked="0"/>
    </xf>
    <xf numFmtId="0" fontId="11" fillId="0" borderId="70" xfId="0" applyFont="1" applyBorder="1" applyAlignment="1" applyProtection="1">
      <alignment horizontal="center" vertical="center"/>
      <protection locked="0"/>
    </xf>
    <xf numFmtId="0" fontId="11" fillId="0" borderId="70" xfId="0" applyFont="1" applyBorder="1" applyAlignment="1" applyProtection="1">
      <alignment horizontal="center" vertical="center" wrapText="1"/>
      <protection locked="0"/>
    </xf>
    <xf numFmtId="0" fontId="71" fillId="0" borderId="70" xfId="0" applyFont="1" applyBorder="1" applyAlignment="1">
      <alignment horizontal="center" vertical="center"/>
    </xf>
    <xf numFmtId="0" fontId="73" fillId="0" borderId="70" xfId="0" applyFont="1" applyBorder="1" applyAlignment="1" applyProtection="1">
      <alignment horizontal="center" vertical="center" wrapText="1"/>
      <protection locked="0"/>
    </xf>
    <xf numFmtId="0" fontId="36" fillId="0" borderId="62" xfId="0" applyFont="1" applyBorder="1" applyAlignment="1" applyProtection="1">
      <alignment horizontal="center" vertical="center"/>
      <protection locked="0"/>
    </xf>
    <xf numFmtId="0" fontId="36" fillId="0" borderId="63" xfId="0" applyFont="1" applyBorder="1" applyAlignment="1" applyProtection="1">
      <alignment horizontal="center" vertical="center"/>
      <protection locked="0"/>
    </xf>
    <xf numFmtId="0" fontId="36" fillId="0" borderId="64" xfId="0" applyFont="1" applyBorder="1" applyAlignment="1" applyProtection="1">
      <alignment horizontal="center" vertical="center"/>
      <protection locked="0"/>
    </xf>
    <xf numFmtId="0" fontId="109" fillId="0" borderId="10" xfId="0" applyFont="1" applyBorder="1" applyAlignment="1" applyProtection="1">
      <alignment horizontal="center" vertical="center" wrapText="1"/>
      <protection locked="0"/>
    </xf>
    <xf numFmtId="0" fontId="109" fillId="0" borderId="12" xfId="0" applyFont="1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/>
      <protection locked="0"/>
    </xf>
    <xf numFmtId="165" fontId="133" fillId="0" borderId="10" xfId="0" applyNumberFormat="1" applyFont="1" applyBorder="1" applyAlignment="1" applyProtection="1">
      <alignment horizontal="center" vertical="center" wrapText="1"/>
      <protection locked="0"/>
    </xf>
    <xf numFmtId="165" fontId="133" fillId="0" borderId="11" xfId="0" applyNumberFormat="1" applyFont="1" applyBorder="1" applyAlignment="1" applyProtection="1">
      <alignment horizontal="center" vertical="center" wrapText="1"/>
      <protection locked="0"/>
    </xf>
    <xf numFmtId="165" fontId="133" fillId="0" borderId="12" xfId="0" applyNumberFormat="1" applyFont="1" applyBorder="1" applyAlignment="1" applyProtection="1">
      <alignment horizontal="center" vertical="center" wrapText="1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7" fillId="0" borderId="15" xfId="0" applyFont="1" applyBorder="1" applyAlignment="1" applyProtection="1">
      <alignment horizontal="center"/>
      <protection locked="0"/>
    </xf>
    <xf numFmtId="0" fontId="34" fillId="16" borderId="10" xfId="2" applyFill="1" applyBorder="1" applyAlignment="1" applyProtection="1">
      <alignment horizontal="center"/>
      <protection locked="0"/>
    </xf>
    <xf numFmtId="0" fontId="34" fillId="16" borderId="11" xfId="2" applyFill="1" applyBorder="1" applyAlignment="1" applyProtection="1">
      <alignment horizontal="center"/>
      <protection locked="0"/>
    </xf>
    <xf numFmtId="0" fontId="34" fillId="16" borderId="14" xfId="2" applyFill="1" applyBorder="1" applyAlignment="1" applyProtection="1">
      <alignment horizontal="center"/>
      <protection locked="0"/>
    </xf>
    <xf numFmtId="0" fontId="35" fillId="16" borderId="11" xfId="1" applyFill="1" applyBorder="1" applyAlignment="1" applyProtection="1">
      <alignment horizontal="center"/>
      <protection locked="0"/>
    </xf>
    <xf numFmtId="0" fontId="35" fillId="16" borderId="12" xfId="1" applyFill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 vertical="center" wrapText="1"/>
      <protection locked="0"/>
    </xf>
    <xf numFmtId="0" fontId="38" fillId="0" borderId="12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26" fillId="0" borderId="10" xfId="0" applyFont="1" applyBorder="1" applyAlignment="1" applyProtection="1">
      <alignment horizontal="center" vertical="center" wrapText="1"/>
      <protection locked="0"/>
    </xf>
    <xf numFmtId="0" fontId="26" fillId="0" borderId="12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4" fillId="16" borderId="8" xfId="2" applyFill="1" applyBorder="1" applyAlignment="1" applyProtection="1">
      <alignment horizontal="center"/>
      <protection locked="0"/>
    </xf>
    <xf numFmtId="0" fontId="35" fillId="16" borderId="20" xfId="1" applyFill="1" applyBorder="1" applyAlignment="1" applyProtection="1">
      <alignment horizontal="center"/>
      <protection locked="0"/>
    </xf>
    <xf numFmtId="0" fontId="35" fillId="16" borderId="8" xfId="1" applyFill="1" applyBorder="1" applyAlignment="1" applyProtection="1">
      <alignment horizontal="center"/>
      <protection locked="0"/>
    </xf>
    <xf numFmtId="0" fontId="26" fillId="0" borderId="46" xfId="0" applyFont="1" applyBorder="1" applyAlignment="1" applyProtection="1">
      <alignment horizontal="center" vertical="center" wrapText="1"/>
      <protection locked="0"/>
    </xf>
    <xf numFmtId="0" fontId="36" fillId="0" borderId="8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8" fillId="5" borderId="5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6" fillId="5" borderId="24" xfId="0" applyFont="1" applyFill="1" applyBorder="1" applyAlignment="1">
      <alignment horizontal="center"/>
    </xf>
    <xf numFmtId="0" fontId="18" fillId="5" borderId="23" xfId="0" applyFont="1" applyFill="1" applyBorder="1" applyAlignment="1">
      <alignment horizontal="center"/>
    </xf>
    <xf numFmtId="0" fontId="16" fillId="5" borderId="23" xfId="0" applyFont="1" applyFill="1" applyBorder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16" fillId="5" borderId="8" xfId="0" applyFont="1" applyFill="1" applyBorder="1" applyAlignment="1">
      <alignment horizontal="center"/>
    </xf>
    <xf numFmtId="0" fontId="18" fillId="5" borderId="8" xfId="0" applyFont="1" applyFill="1" applyBorder="1" applyAlignment="1">
      <alignment horizontal="center"/>
    </xf>
    <xf numFmtId="0" fontId="5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64" fillId="0" borderId="48" xfId="0" applyNumberFormat="1" applyFont="1" applyBorder="1" applyAlignment="1">
      <alignment horizontal="center" vertical="center"/>
    </xf>
    <xf numFmtId="2" fontId="64" fillId="0" borderId="49" xfId="0" applyNumberFormat="1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165" fontId="25" fillId="0" borderId="48" xfId="0" applyNumberFormat="1" applyFont="1" applyBorder="1" applyAlignment="1">
      <alignment horizontal="center" vertical="center"/>
    </xf>
    <xf numFmtId="165" fontId="25" fillId="0" borderId="49" xfId="0" applyNumberFormat="1" applyFont="1" applyBorder="1" applyAlignment="1">
      <alignment horizontal="center" vertical="center"/>
    </xf>
    <xf numFmtId="2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61" fillId="0" borderId="48" xfId="0" applyFont="1" applyBorder="1" applyAlignment="1">
      <alignment horizontal="center" vertical="center" wrapText="1"/>
    </xf>
    <xf numFmtId="0" fontId="61" fillId="0" borderId="49" xfId="0" applyFont="1" applyBorder="1" applyAlignment="1">
      <alignment horizontal="center" vertical="center" wrapText="1"/>
    </xf>
    <xf numFmtId="0" fontId="10" fillId="0" borderId="48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68" xfId="0" applyFont="1" applyBorder="1" applyAlignment="1">
      <alignment horizontal="center" vertical="center"/>
    </xf>
    <xf numFmtId="0" fontId="10" fillId="0" borderId="69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36" fillId="0" borderId="59" xfId="0" applyFont="1" applyBorder="1" applyAlignment="1" applyProtection="1">
      <alignment horizontal="center"/>
      <protection locked="0"/>
    </xf>
    <xf numFmtId="0" fontId="36" fillId="0" borderId="60" xfId="0" applyFont="1" applyBorder="1" applyAlignment="1" applyProtection="1">
      <alignment horizontal="center"/>
      <protection locked="0"/>
    </xf>
    <xf numFmtId="0" fontId="36" fillId="0" borderId="61" xfId="0" applyFont="1" applyBorder="1" applyAlignment="1" applyProtection="1">
      <alignment horizontal="center"/>
      <protection locked="0"/>
    </xf>
    <xf numFmtId="0" fontId="11" fillId="5" borderId="29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29" fillId="5" borderId="29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2" xfId="0" applyFont="1" applyBorder="1" applyAlignment="1" applyProtection="1">
      <alignment horizontal="left" vertical="center"/>
      <protection locked="0"/>
    </xf>
    <xf numFmtId="165" fontId="69" fillId="0" borderId="2" xfId="0" applyNumberFormat="1" applyFont="1" applyBorder="1" applyAlignment="1" applyProtection="1">
      <alignment horizontal="left" vertical="center"/>
      <protection locked="0"/>
    </xf>
    <xf numFmtId="165" fontId="69" fillId="0" borderId="3" xfId="0" applyNumberFormat="1" applyFont="1" applyBorder="1" applyAlignment="1" applyProtection="1">
      <alignment horizontal="left" vertic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70" fillId="17" borderId="2" xfId="0" applyFont="1" applyFill="1" applyBorder="1" applyAlignment="1" applyProtection="1">
      <alignment horizontal="center" vertical="center"/>
      <protection locked="0"/>
    </xf>
    <xf numFmtId="0" fontId="70" fillId="17" borderId="3" xfId="0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 applyProtection="1">
      <alignment horizontal="center" vertical="center"/>
      <protection locked="0"/>
    </xf>
    <xf numFmtId="0" fontId="66" fillId="0" borderId="2" xfId="0" applyFont="1" applyBorder="1" applyAlignment="1" applyProtection="1">
      <alignment horizontal="center" vertical="center"/>
      <protection locked="0"/>
    </xf>
    <xf numFmtId="0" fontId="66" fillId="0" borderId="3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67" fillId="0" borderId="0" xfId="0" applyFont="1" applyAlignment="1" applyProtection="1">
      <alignment horizontal="right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112" fillId="0" borderId="65" xfId="0" applyFont="1" applyBorder="1" applyAlignment="1">
      <alignment horizontal="center" vertical="center"/>
    </xf>
    <xf numFmtId="0" fontId="131" fillId="0" borderId="65" xfId="0" applyFont="1" applyBorder="1" applyAlignment="1">
      <alignment horizontal="left"/>
    </xf>
    <xf numFmtId="1" fontId="132" fillId="0" borderId="65" xfId="0" applyNumberFormat="1" applyFont="1" applyBorder="1" applyAlignment="1">
      <alignment horizontal="left"/>
    </xf>
    <xf numFmtId="0" fontId="132" fillId="0" borderId="65" xfId="0" applyFont="1" applyBorder="1" applyAlignment="1">
      <alignment horizontal="left"/>
    </xf>
    <xf numFmtId="0" fontId="33" fillId="11" borderId="67" xfId="0" applyFont="1" applyFill="1" applyBorder="1" applyAlignment="1">
      <alignment horizontal="center" vertical="center"/>
    </xf>
    <xf numFmtId="0" fontId="37" fillId="0" borderId="65" xfId="0" applyFont="1" applyBorder="1" applyAlignment="1">
      <alignment horizontal="center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96" fillId="6" borderId="26" xfId="0" applyFont="1" applyFill="1" applyBorder="1" applyAlignment="1" applyProtection="1">
      <alignment horizontal="center" vertical="center"/>
      <protection locked="0"/>
    </xf>
    <xf numFmtId="0" fontId="7" fillId="10" borderId="26" xfId="0" applyFont="1" applyFill="1" applyBorder="1" applyAlignment="1" applyProtection="1">
      <alignment horizontal="center" vertical="center"/>
      <protection locked="0"/>
    </xf>
    <xf numFmtId="0" fontId="13" fillId="5" borderId="26" xfId="0" applyFont="1" applyFill="1" applyBorder="1" applyAlignment="1" applyProtection="1">
      <alignment horizontal="center" vertical="center"/>
      <protection locked="0"/>
    </xf>
    <xf numFmtId="0" fontId="93" fillId="18" borderId="1" xfId="0" applyFont="1" applyFill="1" applyBorder="1" applyAlignment="1">
      <alignment horizontal="center" vertical="center"/>
    </xf>
    <xf numFmtId="0" fontId="93" fillId="18" borderId="2" xfId="0" applyFont="1" applyFill="1" applyBorder="1" applyAlignment="1">
      <alignment horizontal="center" vertical="center"/>
    </xf>
    <xf numFmtId="0" fontId="93" fillId="18" borderId="3" xfId="0" applyFont="1" applyFill="1" applyBorder="1" applyAlignment="1">
      <alignment horizontal="center" vertical="center"/>
    </xf>
    <xf numFmtId="0" fontId="96" fillId="17" borderId="1" xfId="0" applyFont="1" applyFill="1" applyBorder="1" applyAlignment="1">
      <alignment horizontal="center" vertical="center"/>
    </xf>
    <xf numFmtId="0" fontId="96" fillId="17" borderId="2" xfId="0" applyFont="1" applyFill="1" applyBorder="1" applyAlignment="1">
      <alignment horizontal="center" vertical="center"/>
    </xf>
    <xf numFmtId="0" fontId="96" fillId="17" borderId="3" xfId="0" applyFont="1" applyFill="1" applyBorder="1" applyAlignment="1">
      <alignment horizontal="center" vertical="center"/>
    </xf>
    <xf numFmtId="0" fontId="97" fillId="15" borderId="1" xfId="0" applyFont="1" applyFill="1" applyBorder="1" applyAlignment="1">
      <alignment horizontal="center"/>
    </xf>
    <xf numFmtId="0" fontId="97" fillId="15" borderId="2" xfId="0" applyFont="1" applyFill="1" applyBorder="1" applyAlignment="1">
      <alignment horizontal="center"/>
    </xf>
    <xf numFmtId="0" fontId="97" fillId="15" borderId="3" xfId="0" applyFont="1" applyFill="1" applyBorder="1" applyAlignment="1">
      <alignment horizontal="center"/>
    </xf>
    <xf numFmtId="0" fontId="96" fillId="0" borderId="1" xfId="0" applyFont="1" applyBorder="1" applyAlignment="1">
      <alignment horizontal="center"/>
    </xf>
    <xf numFmtId="0" fontId="96" fillId="0" borderId="2" xfId="0" applyFont="1" applyBorder="1" applyAlignment="1">
      <alignment horizontal="center"/>
    </xf>
    <xf numFmtId="0" fontId="9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3" borderId="26" xfId="0" applyFont="1" applyFill="1" applyBorder="1" applyAlignment="1" applyProtection="1">
      <alignment horizontal="center" vertical="center"/>
      <protection locked="0"/>
    </xf>
    <xf numFmtId="0" fontId="12" fillId="2" borderId="26" xfId="0" applyFont="1" applyFill="1" applyBorder="1" applyAlignment="1" applyProtection="1">
      <alignment horizontal="center" vertical="center"/>
      <protection locked="0"/>
    </xf>
    <xf numFmtId="0" fontId="7" fillId="9" borderId="26" xfId="0" applyFont="1" applyFill="1" applyBorder="1" applyAlignment="1" applyProtection="1">
      <alignment horizontal="center" vertical="center"/>
      <protection locked="0"/>
    </xf>
    <xf numFmtId="0" fontId="12" fillId="8" borderId="26" xfId="0" applyFont="1" applyFill="1" applyBorder="1" applyAlignment="1" applyProtection="1">
      <alignment horizontal="center" vertical="center"/>
      <protection locked="0"/>
    </xf>
    <xf numFmtId="0" fontId="81" fillId="19" borderId="26" xfId="0" applyFont="1" applyFill="1" applyBorder="1" applyAlignment="1">
      <alignment horizontal="center"/>
    </xf>
    <xf numFmtId="0" fontId="82" fillId="19" borderId="26" xfId="0" applyFont="1" applyFill="1" applyBorder="1" applyAlignment="1">
      <alignment horizontal="center"/>
    </xf>
    <xf numFmtId="49" fontId="115" fillId="20" borderId="26" xfId="0" applyNumberFormat="1" applyFont="1" applyFill="1" applyBorder="1" applyAlignment="1">
      <alignment horizontal="center"/>
    </xf>
    <xf numFmtId="0" fontId="84" fillId="19" borderId="26" xfId="0" applyFont="1" applyFill="1" applyBorder="1" applyAlignment="1">
      <alignment horizontal="center"/>
    </xf>
    <xf numFmtId="0" fontId="85" fillId="19" borderId="26" xfId="0" applyFont="1" applyFill="1" applyBorder="1" applyAlignment="1">
      <alignment horizontal="center"/>
    </xf>
    <xf numFmtId="1" fontId="86" fillId="20" borderId="26" xfId="0" applyNumberFormat="1" applyFont="1" applyFill="1" applyBorder="1" applyAlignment="1">
      <alignment horizontal="center"/>
    </xf>
    <xf numFmtId="0" fontId="91" fillId="0" borderId="6" xfId="0" applyFont="1" applyBorder="1" applyAlignment="1">
      <alignment horizontal="center" vertical="center" wrapText="1"/>
    </xf>
    <xf numFmtId="0" fontId="92" fillId="0" borderId="6" xfId="0" applyFont="1" applyBorder="1" applyAlignment="1">
      <alignment horizontal="center" vertical="center" wrapText="1"/>
    </xf>
    <xf numFmtId="0" fontId="91" fillId="0" borderId="38" xfId="0" applyFont="1" applyBorder="1" applyAlignment="1">
      <alignment horizontal="center" vertical="center" wrapText="1"/>
    </xf>
    <xf numFmtId="0" fontId="91" fillId="0" borderId="40" xfId="0" applyFont="1" applyBorder="1" applyAlignment="1">
      <alignment horizontal="center" vertical="center" wrapText="1"/>
    </xf>
    <xf numFmtId="0" fontId="91" fillId="0" borderId="6" xfId="0" applyFont="1" applyBorder="1" applyAlignment="1">
      <alignment horizontal="center" vertical="center"/>
    </xf>
    <xf numFmtId="0" fontId="91" fillId="0" borderId="37" xfId="0" applyFont="1" applyBorder="1" applyAlignment="1">
      <alignment horizontal="center" vertical="center" wrapText="1"/>
    </xf>
    <xf numFmtId="0" fontId="91" fillId="0" borderId="39" xfId="0" applyFont="1" applyBorder="1" applyAlignment="1">
      <alignment horizontal="center" vertical="center" wrapText="1"/>
    </xf>
    <xf numFmtId="0" fontId="91" fillId="0" borderId="6" xfId="0" applyFont="1" applyBorder="1" applyAlignment="1">
      <alignment horizontal="center" wrapText="1"/>
    </xf>
    <xf numFmtId="0" fontId="92" fillId="0" borderId="6" xfId="0" applyFont="1" applyBorder="1" applyAlignment="1">
      <alignment horizontal="center" wrapText="1"/>
    </xf>
    <xf numFmtId="0" fontId="92" fillId="0" borderId="6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2" fontId="116" fillId="0" borderId="42" xfId="0" applyNumberFormat="1" applyFont="1" applyBorder="1" applyAlignment="1">
      <alignment horizontal="center"/>
    </xf>
    <xf numFmtId="0" fontId="116" fillId="0" borderId="42" xfId="0" applyFont="1" applyBorder="1" applyAlignment="1">
      <alignment horizontal="center"/>
    </xf>
    <xf numFmtId="0" fontId="117" fillId="0" borderId="0" xfId="0" applyFont="1" applyAlignment="1">
      <alignment horizontal="center"/>
    </xf>
    <xf numFmtId="0" fontId="116" fillId="0" borderId="43" xfId="0" applyFont="1" applyBorder="1" applyAlignment="1">
      <alignment horizontal="center"/>
    </xf>
    <xf numFmtId="0" fontId="117" fillId="0" borderId="28" xfId="0" applyFont="1" applyBorder="1" applyAlignment="1">
      <alignment horizontal="left"/>
    </xf>
    <xf numFmtId="0" fontId="117" fillId="0" borderId="0" xfId="0" applyFont="1" applyAlignment="1">
      <alignment horizontal="left"/>
    </xf>
    <xf numFmtId="2" fontId="119" fillId="0" borderId="42" xfId="0" applyNumberFormat="1" applyFont="1" applyBorder="1" applyAlignment="1">
      <alignment horizontal="center"/>
    </xf>
    <xf numFmtId="0" fontId="119" fillId="0" borderId="42" xfId="0" applyFont="1" applyBorder="1" applyAlignment="1">
      <alignment horizontal="center"/>
    </xf>
    <xf numFmtId="0" fontId="119" fillId="0" borderId="4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5" xfId="0" applyBorder="1" applyAlignment="1">
      <alignment horizontal="center"/>
    </xf>
    <xf numFmtId="0" fontId="78" fillId="7" borderId="1" xfId="0" applyFont="1" applyFill="1" applyBorder="1" applyAlignment="1">
      <alignment horizontal="center" vertical="center"/>
    </xf>
    <xf numFmtId="0" fontId="78" fillId="7" borderId="2" xfId="0" applyFont="1" applyFill="1" applyBorder="1" applyAlignment="1">
      <alignment horizontal="center" vertical="center"/>
    </xf>
    <xf numFmtId="0" fontId="78" fillId="7" borderId="3" xfId="0" applyFont="1" applyFill="1" applyBorder="1" applyAlignment="1">
      <alignment horizontal="center" vertical="center"/>
    </xf>
    <xf numFmtId="0" fontId="79" fillId="8" borderId="1" xfId="0" applyFont="1" applyFill="1" applyBorder="1" applyAlignment="1">
      <alignment horizontal="center" vertical="center"/>
    </xf>
    <xf numFmtId="0" fontId="79" fillId="8" borderId="2" xfId="0" applyFont="1" applyFill="1" applyBorder="1" applyAlignment="1">
      <alignment horizontal="center" vertical="center"/>
    </xf>
    <xf numFmtId="0" fontId="79" fillId="8" borderId="3" xfId="0" applyFont="1" applyFill="1" applyBorder="1" applyAlignment="1">
      <alignment horizontal="center" vertical="center"/>
    </xf>
    <xf numFmtId="0" fontId="80" fillId="5" borderId="1" xfId="0" applyFont="1" applyFill="1" applyBorder="1" applyAlignment="1">
      <alignment horizontal="center"/>
    </xf>
    <xf numFmtId="0" fontId="80" fillId="5" borderId="2" xfId="0" applyFont="1" applyFill="1" applyBorder="1" applyAlignment="1">
      <alignment horizontal="center"/>
    </xf>
    <xf numFmtId="0" fontId="80" fillId="5" borderId="3" xfId="0" applyFont="1" applyFill="1" applyBorder="1" applyAlignment="1">
      <alignment horizontal="center"/>
    </xf>
    <xf numFmtId="0" fontId="79" fillId="15" borderId="1" xfId="0" applyFont="1" applyFill="1" applyBorder="1" applyAlignment="1">
      <alignment horizontal="center"/>
    </xf>
    <xf numFmtId="0" fontId="79" fillId="15" borderId="2" xfId="0" applyFont="1" applyFill="1" applyBorder="1" applyAlignment="1">
      <alignment horizontal="center"/>
    </xf>
    <xf numFmtId="0" fontId="79" fillId="15" borderId="3" xfId="0" applyFont="1" applyFill="1" applyBorder="1" applyAlignment="1">
      <alignment horizontal="center"/>
    </xf>
    <xf numFmtId="0" fontId="114" fillId="5" borderId="1" xfId="0" applyFont="1" applyFill="1" applyBorder="1" applyAlignment="1" applyProtection="1">
      <alignment horizontal="center" vertical="center"/>
      <protection locked="0"/>
    </xf>
    <xf numFmtId="0" fontId="114" fillId="5" borderId="3" xfId="0" applyFont="1" applyFill="1" applyBorder="1" applyAlignment="1" applyProtection="1">
      <alignment horizontal="center" vertical="center"/>
      <protection locked="0"/>
    </xf>
    <xf numFmtId="0" fontId="98" fillId="0" borderId="31" xfId="0" applyFont="1" applyBorder="1" applyAlignment="1">
      <alignment horizontal="center" vertical="center"/>
    </xf>
    <xf numFmtId="0" fontId="98" fillId="0" borderId="32" xfId="0" applyFont="1" applyBorder="1" applyAlignment="1">
      <alignment horizontal="center" vertical="center"/>
    </xf>
    <xf numFmtId="0" fontId="98" fillId="0" borderId="33" xfId="0" applyFont="1" applyBorder="1" applyAlignment="1">
      <alignment horizontal="center" vertical="center"/>
    </xf>
    <xf numFmtId="0" fontId="98" fillId="0" borderId="28" xfId="0" applyFont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8" fillId="0" borderId="27" xfId="0" applyFont="1" applyBorder="1" applyAlignment="1">
      <alignment horizontal="center" vertical="center"/>
    </xf>
    <xf numFmtId="0" fontId="98" fillId="0" borderId="34" xfId="0" applyFont="1" applyBorder="1" applyAlignment="1">
      <alignment horizontal="center" vertical="center"/>
    </xf>
    <xf numFmtId="0" fontId="98" fillId="0" borderId="30" xfId="0" applyFont="1" applyBorder="1" applyAlignment="1">
      <alignment horizontal="center" vertical="center"/>
    </xf>
    <xf numFmtId="0" fontId="98" fillId="0" borderId="3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99" fillId="0" borderId="1" xfId="0" applyNumberFormat="1" applyFont="1" applyBorder="1" applyAlignment="1">
      <alignment horizontal="center" vertical="center"/>
    </xf>
    <xf numFmtId="2" fontId="99" fillId="0" borderId="2" xfId="0" applyNumberFormat="1" applyFont="1" applyBorder="1" applyAlignment="1">
      <alignment horizontal="center" vertical="center"/>
    </xf>
    <xf numFmtId="2" fontId="99" fillId="0" borderId="3" xfId="0" applyNumberFormat="1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</cellXfs>
  <cellStyles count="3">
    <cellStyle name="40% - Accent4" xfId="2" builtinId="43"/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0000FF"/>
      <color rgb="FFFF0066"/>
      <color rgb="FFFF3399"/>
      <color rgb="FF660066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57150</xdr:rowOff>
    </xdr:from>
    <xdr:to>
      <xdr:col>14</xdr:col>
      <xdr:colOff>276225</xdr:colOff>
      <xdr:row>1</xdr:row>
      <xdr:rowOff>514350</xdr:rowOff>
    </xdr:to>
    <xdr:sp macro="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00700" y="571500"/>
          <a:ext cx="369570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</xdr:row>
      <xdr:rowOff>47625</xdr:rowOff>
    </xdr:from>
    <xdr:to>
      <xdr:col>17</xdr:col>
      <xdr:colOff>581024</xdr:colOff>
      <xdr:row>1</xdr:row>
      <xdr:rowOff>504825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39274" y="561975"/>
          <a:ext cx="1895475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</xdr:row>
      <xdr:rowOff>38100</xdr:rowOff>
    </xdr:from>
    <xdr:to>
      <xdr:col>17</xdr:col>
      <xdr:colOff>523874</xdr:colOff>
      <xdr:row>1</xdr:row>
      <xdr:rowOff>485775</xdr:rowOff>
    </xdr:to>
    <xdr:sp macro="" textlink="">
      <xdr:nvSpPr>
        <xdr:cNvPr id="6" name="6-Point St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72774" y="552450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24</xdr:row>
      <xdr:rowOff>57150</xdr:rowOff>
    </xdr:from>
    <xdr:to>
      <xdr:col>8</xdr:col>
      <xdr:colOff>295276</xdr:colOff>
      <xdr:row>24</xdr:row>
      <xdr:rowOff>514350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590550"/>
          <a:ext cx="5038726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24</xdr:row>
      <xdr:rowOff>57150</xdr:rowOff>
    </xdr:from>
    <xdr:to>
      <xdr:col>14</xdr:col>
      <xdr:colOff>276225</xdr:colOff>
      <xdr:row>24</xdr:row>
      <xdr:rowOff>514350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600700" y="590550"/>
          <a:ext cx="369570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24</xdr:row>
      <xdr:rowOff>47625</xdr:rowOff>
    </xdr:from>
    <xdr:to>
      <xdr:col>17</xdr:col>
      <xdr:colOff>581024</xdr:colOff>
      <xdr:row>24</xdr:row>
      <xdr:rowOff>504825</xdr:rowOff>
    </xdr:to>
    <xdr:sp macro="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39274" y="581025"/>
          <a:ext cx="1895475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24</xdr:row>
      <xdr:rowOff>38100</xdr:rowOff>
    </xdr:from>
    <xdr:to>
      <xdr:col>17</xdr:col>
      <xdr:colOff>523874</xdr:colOff>
      <xdr:row>24</xdr:row>
      <xdr:rowOff>485775</xdr:rowOff>
    </xdr:to>
    <xdr:sp macro="" textlink="">
      <xdr:nvSpPr>
        <xdr:cNvPr id="10" name="6-Point St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772774" y="571500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47</xdr:row>
      <xdr:rowOff>57150</xdr:rowOff>
    </xdr:from>
    <xdr:to>
      <xdr:col>8</xdr:col>
      <xdr:colOff>295276</xdr:colOff>
      <xdr:row>47</xdr:row>
      <xdr:rowOff>514350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71450" y="590550"/>
          <a:ext cx="5038726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47</xdr:row>
      <xdr:rowOff>57150</xdr:rowOff>
    </xdr:from>
    <xdr:to>
      <xdr:col>14</xdr:col>
      <xdr:colOff>276225</xdr:colOff>
      <xdr:row>47</xdr:row>
      <xdr:rowOff>514350</xdr:rowOff>
    </xdr:to>
    <xdr:sp macro="" textlink="">
      <xdr:nvSpPr>
        <xdr:cNvPr id="12" name="Flowchart: Alternate Proces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600700" y="590550"/>
          <a:ext cx="369570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47</xdr:row>
      <xdr:rowOff>47625</xdr:rowOff>
    </xdr:from>
    <xdr:to>
      <xdr:col>17</xdr:col>
      <xdr:colOff>581024</xdr:colOff>
      <xdr:row>47</xdr:row>
      <xdr:rowOff>504825</xdr:rowOff>
    </xdr:to>
    <xdr:sp macro="" textlink="">
      <xdr:nvSpPr>
        <xdr:cNvPr id="13" name="Flowchart: Alternate Proces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439274" y="581025"/>
          <a:ext cx="1895475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47</xdr:row>
      <xdr:rowOff>38100</xdr:rowOff>
    </xdr:from>
    <xdr:to>
      <xdr:col>17</xdr:col>
      <xdr:colOff>523874</xdr:colOff>
      <xdr:row>47</xdr:row>
      <xdr:rowOff>485775</xdr:rowOff>
    </xdr:to>
    <xdr:sp macro="" textlink="">
      <xdr:nvSpPr>
        <xdr:cNvPr id="14" name="6-Point Sta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0772774" y="571500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1</xdr:row>
      <xdr:rowOff>57150</xdr:rowOff>
    </xdr:from>
    <xdr:to>
      <xdr:col>8</xdr:col>
      <xdr:colOff>565042</xdr:colOff>
      <xdr:row>1</xdr:row>
      <xdr:rowOff>514350</xdr:rowOff>
    </xdr:to>
    <xdr:sp macro="" textlink="">
      <xdr:nvSpPr>
        <xdr:cNvPr id="91" name="Flowchart: Alternate Process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69351" y="589904"/>
          <a:ext cx="5182407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17</xdr:col>
      <xdr:colOff>19049</xdr:colOff>
      <xdr:row>1</xdr:row>
      <xdr:rowOff>38100</xdr:rowOff>
    </xdr:from>
    <xdr:to>
      <xdr:col>17</xdr:col>
      <xdr:colOff>523874</xdr:colOff>
      <xdr:row>1</xdr:row>
      <xdr:rowOff>485775</xdr:rowOff>
    </xdr:to>
    <xdr:sp macro="" textlink="">
      <xdr:nvSpPr>
        <xdr:cNvPr id="94" name="6-Point Star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10772774" y="552450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</a:t>
          </a:r>
        </a:p>
      </xdr:txBody>
    </xdr:sp>
    <xdr:clientData/>
  </xdr:twoCellAnchor>
  <xdr:twoCellAnchor>
    <xdr:from>
      <xdr:col>1</xdr:col>
      <xdr:colOff>104775</xdr:colOff>
      <xdr:row>24</xdr:row>
      <xdr:rowOff>57150</xdr:rowOff>
    </xdr:from>
    <xdr:to>
      <xdr:col>8</xdr:col>
      <xdr:colOff>556970</xdr:colOff>
      <xdr:row>24</xdr:row>
      <xdr:rowOff>514350</xdr:rowOff>
    </xdr:to>
    <xdr:sp macro="" textlink="">
      <xdr:nvSpPr>
        <xdr:cNvPr id="99" name="Flowchart: Alternate Process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8177616"/>
          <a:ext cx="517433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24</xdr:row>
      <xdr:rowOff>57150</xdr:rowOff>
    </xdr:from>
    <xdr:to>
      <xdr:col>14</xdr:col>
      <xdr:colOff>276225</xdr:colOff>
      <xdr:row>24</xdr:row>
      <xdr:rowOff>514350</xdr:rowOff>
    </xdr:to>
    <xdr:sp macro="" textlink="">
      <xdr:nvSpPr>
        <xdr:cNvPr id="100" name="Flowchart: Alternate Process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600700" y="8143875"/>
          <a:ext cx="369570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24</xdr:row>
      <xdr:rowOff>47625</xdr:rowOff>
    </xdr:from>
    <xdr:to>
      <xdr:col>17</xdr:col>
      <xdr:colOff>581024</xdr:colOff>
      <xdr:row>24</xdr:row>
      <xdr:rowOff>504825</xdr:rowOff>
    </xdr:to>
    <xdr:sp macro="" textlink="">
      <xdr:nvSpPr>
        <xdr:cNvPr id="101" name="Flowchart: Alternate Process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39274" y="8134350"/>
          <a:ext cx="1895475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24</xdr:row>
      <xdr:rowOff>38100</xdr:rowOff>
    </xdr:from>
    <xdr:to>
      <xdr:col>17</xdr:col>
      <xdr:colOff>523874</xdr:colOff>
      <xdr:row>24</xdr:row>
      <xdr:rowOff>485775</xdr:rowOff>
    </xdr:to>
    <xdr:sp macro="" textlink="">
      <xdr:nvSpPr>
        <xdr:cNvPr id="102" name="6-Point Star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772774" y="8124825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</a:t>
          </a:r>
        </a:p>
      </xdr:txBody>
    </xdr:sp>
    <xdr:clientData/>
  </xdr:twoCellAnchor>
  <xdr:twoCellAnchor>
    <xdr:from>
      <xdr:col>1</xdr:col>
      <xdr:colOff>104775</xdr:colOff>
      <xdr:row>47</xdr:row>
      <xdr:rowOff>57150</xdr:rowOff>
    </xdr:from>
    <xdr:to>
      <xdr:col>8</xdr:col>
      <xdr:colOff>565042</xdr:colOff>
      <xdr:row>47</xdr:row>
      <xdr:rowOff>514350</xdr:rowOff>
    </xdr:to>
    <xdr:sp macro="" textlink="">
      <xdr:nvSpPr>
        <xdr:cNvPr id="103" name="Flowchart: Alternate Process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169351" y="15765328"/>
          <a:ext cx="5182407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47</xdr:row>
      <xdr:rowOff>57150</xdr:rowOff>
    </xdr:from>
    <xdr:to>
      <xdr:col>14</xdr:col>
      <xdr:colOff>276225</xdr:colOff>
      <xdr:row>47</xdr:row>
      <xdr:rowOff>514350</xdr:rowOff>
    </xdr:to>
    <xdr:sp macro="" textlink="">
      <xdr:nvSpPr>
        <xdr:cNvPr id="104" name="Flowchart: Alternate Process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5600700" y="15716250"/>
          <a:ext cx="369570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47</xdr:row>
      <xdr:rowOff>47625</xdr:rowOff>
    </xdr:from>
    <xdr:to>
      <xdr:col>17</xdr:col>
      <xdr:colOff>581024</xdr:colOff>
      <xdr:row>47</xdr:row>
      <xdr:rowOff>504825</xdr:rowOff>
    </xdr:to>
    <xdr:sp macro="" textlink="">
      <xdr:nvSpPr>
        <xdr:cNvPr id="105" name="Flowchart: Alternate Process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>
          <a:off x="9439274" y="15706725"/>
          <a:ext cx="1895475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47</xdr:row>
      <xdr:rowOff>38100</xdr:rowOff>
    </xdr:from>
    <xdr:to>
      <xdr:col>17</xdr:col>
      <xdr:colOff>523874</xdr:colOff>
      <xdr:row>47</xdr:row>
      <xdr:rowOff>485775</xdr:rowOff>
    </xdr:to>
    <xdr:sp macro="" textlink="">
      <xdr:nvSpPr>
        <xdr:cNvPr id="106" name="6-Point Star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>
          <a:off x="10772774" y="15697200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3</a:t>
          </a:r>
        </a:p>
      </xdr:txBody>
    </xdr:sp>
    <xdr:clientData/>
  </xdr:twoCellAnchor>
  <xdr:oneCellAnchor>
    <xdr:from>
      <xdr:col>9</xdr:col>
      <xdr:colOff>438795</xdr:colOff>
      <xdr:row>76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911634" y="241181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9</xdr:col>
      <xdr:colOff>76200</xdr:colOff>
      <xdr:row>77</xdr:row>
      <xdr:rowOff>57150</xdr:rowOff>
    </xdr:from>
    <xdr:to>
      <xdr:col>14</xdr:col>
      <xdr:colOff>276225</xdr:colOff>
      <xdr:row>77</xdr:row>
      <xdr:rowOff>514350</xdr:rowOff>
    </xdr:to>
    <xdr:sp macro="" textlink="">
      <xdr:nvSpPr>
        <xdr:cNvPr id="147" name="Flowchart: Alternate Process 14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08679" y="589904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77</xdr:row>
      <xdr:rowOff>47625</xdr:rowOff>
    </xdr:from>
    <xdr:to>
      <xdr:col>17</xdr:col>
      <xdr:colOff>581024</xdr:colOff>
      <xdr:row>77</xdr:row>
      <xdr:rowOff>504825</xdr:rowOff>
    </xdr:to>
    <xdr:sp macro="" textlink="">
      <xdr:nvSpPr>
        <xdr:cNvPr id="148" name="Flowchart: Alternate Process 147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83993" y="580379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77</xdr:row>
      <xdr:rowOff>38100</xdr:rowOff>
    </xdr:from>
    <xdr:to>
      <xdr:col>17</xdr:col>
      <xdr:colOff>523874</xdr:colOff>
      <xdr:row>77</xdr:row>
      <xdr:rowOff>485775</xdr:rowOff>
    </xdr:to>
    <xdr:sp macro="" textlink="">
      <xdr:nvSpPr>
        <xdr:cNvPr id="149" name="6-Point Star 14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00151" y="570854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100</xdr:row>
      <xdr:rowOff>57150</xdr:rowOff>
    </xdr:from>
    <xdr:to>
      <xdr:col>8</xdr:col>
      <xdr:colOff>295276</xdr:colOff>
      <xdr:row>100</xdr:row>
      <xdr:rowOff>514350</xdr:rowOff>
    </xdr:to>
    <xdr:sp macro="" textlink="">
      <xdr:nvSpPr>
        <xdr:cNvPr id="150" name="Flowchart: Alternate Process 14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8565074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100</xdr:row>
      <xdr:rowOff>57150</xdr:rowOff>
    </xdr:from>
    <xdr:to>
      <xdr:col>14</xdr:col>
      <xdr:colOff>276225</xdr:colOff>
      <xdr:row>100</xdr:row>
      <xdr:rowOff>514350</xdr:rowOff>
    </xdr:to>
    <xdr:sp macro="" textlink="">
      <xdr:nvSpPr>
        <xdr:cNvPr id="151" name="Flowchart: Alternate Process 15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8565074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100</xdr:row>
      <xdr:rowOff>47625</xdr:rowOff>
    </xdr:from>
    <xdr:to>
      <xdr:col>17</xdr:col>
      <xdr:colOff>581024</xdr:colOff>
      <xdr:row>100</xdr:row>
      <xdr:rowOff>504825</xdr:rowOff>
    </xdr:to>
    <xdr:sp macro="" textlink="">
      <xdr:nvSpPr>
        <xdr:cNvPr id="152" name="Flowchart: Alternate Process 15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8555549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100</xdr:row>
      <xdr:rowOff>38100</xdr:rowOff>
    </xdr:from>
    <xdr:to>
      <xdr:col>17</xdr:col>
      <xdr:colOff>523874</xdr:colOff>
      <xdr:row>100</xdr:row>
      <xdr:rowOff>485775</xdr:rowOff>
    </xdr:to>
    <xdr:sp macro="" textlink="">
      <xdr:nvSpPr>
        <xdr:cNvPr id="153" name="6-Point Star 15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8546024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77</xdr:row>
      <xdr:rowOff>57150</xdr:rowOff>
    </xdr:from>
    <xdr:to>
      <xdr:col>8</xdr:col>
      <xdr:colOff>565042</xdr:colOff>
      <xdr:row>77</xdr:row>
      <xdr:rowOff>514350</xdr:rowOff>
    </xdr:to>
    <xdr:sp macro="" textlink="">
      <xdr:nvSpPr>
        <xdr:cNvPr id="154" name="Flowchart: Alternate Process 153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69351" y="589904"/>
          <a:ext cx="5198551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17</xdr:col>
      <xdr:colOff>19049</xdr:colOff>
      <xdr:row>77</xdr:row>
      <xdr:rowOff>38100</xdr:rowOff>
    </xdr:from>
    <xdr:to>
      <xdr:col>17</xdr:col>
      <xdr:colOff>523874</xdr:colOff>
      <xdr:row>77</xdr:row>
      <xdr:rowOff>485775</xdr:rowOff>
    </xdr:to>
    <xdr:sp macro="" textlink="">
      <xdr:nvSpPr>
        <xdr:cNvPr id="159" name="6-Point Star 158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10900151" y="570854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4</a:t>
          </a:r>
        </a:p>
      </xdr:txBody>
    </xdr:sp>
    <xdr:clientData/>
  </xdr:twoCellAnchor>
  <xdr:twoCellAnchor>
    <xdr:from>
      <xdr:col>1</xdr:col>
      <xdr:colOff>104775</xdr:colOff>
      <xdr:row>100</xdr:row>
      <xdr:rowOff>57150</xdr:rowOff>
    </xdr:from>
    <xdr:to>
      <xdr:col>8</xdr:col>
      <xdr:colOff>556970</xdr:colOff>
      <xdr:row>100</xdr:row>
      <xdr:rowOff>514350</xdr:rowOff>
    </xdr:to>
    <xdr:sp macro="" textlink="">
      <xdr:nvSpPr>
        <xdr:cNvPr id="163" name="Flowchart: Alternate Process 162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8565074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100</xdr:row>
      <xdr:rowOff>57150</xdr:rowOff>
    </xdr:from>
    <xdr:to>
      <xdr:col>14</xdr:col>
      <xdr:colOff>276225</xdr:colOff>
      <xdr:row>100</xdr:row>
      <xdr:rowOff>514350</xdr:rowOff>
    </xdr:to>
    <xdr:sp macro="" textlink="">
      <xdr:nvSpPr>
        <xdr:cNvPr id="164" name="Flowchart: Alternate Process 163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8565074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100</xdr:row>
      <xdr:rowOff>47625</xdr:rowOff>
    </xdr:from>
    <xdr:to>
      <xdr:col>17</xdr:col>
      <xdr:colOff>581024</xdr:colOff>
      <xdr:row>100</xdr:row>
      <xdr:rowOff>504825</xdr:rowOff>
    </xdr:to>
    <xdr:sp macro="" textlink="">
      <xdr:nvSpPr>
        <xdr:cNvPr id="165" name="Flowchart: Alternate Process 16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8555549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100</xdr:row>
      <xdr:rowOff>38100</xdr:rowOff>
    </xdr:from>
    <xdr:to>
      <xdr:col>17</xdr:col>
      <xdr:colOff>523874</xdr:colOff>
      <xdr:row>100</xdr:row>
      <xdr:rowOff>485775</xdr:rowOff>
    </xdr:to>
    <xdr:sp macro="" textlink="">
      <xdr:nvSpPr>
        <xdr:cNvPr id="166" name="6-Point Star 165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8546024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5</a:t>
          </a:r>
        </a:p>
      </xdr:txBody>
    </xdr:sp>
    <xdr:clientData/>
  </xdr:twoCellAnchor>
  <xdr:twoCellAnchor>
    <xdr:from>
      <xdr:col>1</xdr:col>
      <xdr:colOff>104775</xdr:colOff>
      <xdr:row>126</xdr:row>
      <xdr:rowOff>57150</xdr:rowOff>
    </xdr:from>
    <xdr:to>
      <xdr:col>8</xdr:col>
      <xdr:colOff>295276</xdr:colOff>
      <xdr:row>126</xdr:row>
      <xdr:rowOff>514350</xdr:rowOff>
    </xdr:to>
    <xdr:sp macro="" textlink="">
      <xdr:nvSpPr>
        <xdr:cNvPr id="37" name="Flowchart: Alternate Process 3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8565074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126</xdr:row>
      <xdr:rowOff>57150</xdr:rowOff>
    </xdr:from>
    <xdr:to>
      <xdr:col>14</xdr:col>
      <xdr:colOff>276225</xdr:colOff>
      <xdr:row>126</xdr:row>
      <xdr:rowOff>514350</xdr:rowOff>
    </xdr:to>
    <xdr:sp macro="" textlink="">
      <xdr:nvSpPr>
        <xdr:cNvPr id="38" name="Flowchart: Alternate Process 3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8565074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126</xdr:row>
      <xdr:rowOff>47625</xdr:rowOff>
    </xdr:from>
    <xdr:to>
      <xdr:col>17</xdr:col>
      <xdr:colOff>581024</xdr:colOff>
      <xdr:row>126</xdr:row>
      <xdr:rowOff>504825</xdr:rowOff>
    </xdr:to>
    <xdr:sp macro="" textlink="">
      <xdr:nvSpPr>
        <xdr:cNvPr id="39" name="Flowchart: Alternate Process 3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8555549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126</xdr:row>
      <xdr:rowOff>38100</xdr:rowOff>
    </xdr:from>
    <xdr:to>
      <xdr:col>17</xdr:col>
      <xdr:colOff>523874</xdr:colOff>
      <xdr:row>126</xdr:row>
      <xdr:rowOff>485775</xdr:rowOff>
    </xdr:to>
    <xdr:sp macro="" textlink="">
      <xdr:nvSpPr>
        <xdr:cNvPr id="40" name="6-Point Star 3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8546024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126</xdr:row>
      <xdr:rowOff>57150</xdr:rowOff>
    </xdr:from>
    <xdr:to>
      <xdr:col>8</xdr:col>
      <xdr:colOff>556970</xdr:colOff>
      <xdr:row>126</xdr:row>
      <xdr:rowOff>514350</xdr:rowOff>
    </xdr:to>
    <xdr:sp macro="" textlink="">
      <xdr:nvSpPr>
        <xdr:cNvPr id="41" name="Flowchart: Alternate Process 40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8565074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126</xdr:row>
      <xdr:rowOff>57150</xdr:rowOff>
    </xdr:from>
    <xdr:to>
      <xdr:col>14</xdr:col>
      <xdr:colOff>276225</xdr:colOff>
      <xdr:row>126</xdr:row>
      <xdr:rowOff>514350</xdr:rowOff>
    </xdr:to>
    <xdr:sp macro="" textlink="">
      <xdr:nvSpPr>
        <xdr:cNvPr id="42" name="Flowchart: Alternate Process 4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8565074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126</xdr:row>
      <xdr:rowOff>47625</xdr:rowOff>
    </xdr:from>
    <xdr:to>
      <xdr:col>17</xdr:col>
      <xdr:colOff>581024</xdr:colOff>
      <xdr:row>126</xdr:row>
      <xdr:rowOff>504825</xdr:rowOff>
    </xdr:to>
    <xdr:sp macro="" textlink="">
      <xdr:nvSpPr>
        <xdr:cNvPr id="43" name="Flowchart: Alternate Process 42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8555549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126</xdr:row>
      <xdr:rowOff>38100</xdr:rowOff>
    </xdr:from>
    <xdr:to>
      <xdr:col>17</xdr:col>
      <xdr:colOff>523874</xdr:colOff>
      <xdr:row>126</xdr:row>
      <xdr:rowOff>485775</xdr:rowOff>
    </xdr:to>
    <xdr:sp macro="" textlink="">
      <xdr:nvSpPr>
        <xdr:cNvPr id="44" name="6-Point Star 43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8546024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6</a:t>
          </a:r>
        </a:p>
      </xdr:txBody>
    </xdr:sp>
    <xdr:clientData/>
  </xdr:twoCellAnchor>
  <xdr:twoCellAnchor>
    <xdr:from>
      <xdr:col>1</xdr:col>
      <xdr:colOff>104775</xdr:colOff>
      <xdr:row>149</xdr:row>
      <xdr:rowOff>57150</xdr:rowOff>
    </xdr:from>
    <xdr:to>
      <xdr:col>8</xdr:col>
      <xdr:colOff>295276</xdr:colOff>
      <xdr:row>149</xdr:row>
      <xdr:rowOff>514350</xdr:rowOff>
    </xdr:to>
    <xdr:sp macro="" textlink="">
      <xdr:nvSpPr>
        <xdr:cNvPr id="45" name="Flowchart: Alternate Process 4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40586832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149</xdr:row>
      <xdr:rowOff>57150</xdr:rowOff>
    </xdr:from>
    <xdr:to>
      <xdr:col>14</xdr:col>
      <xdr:colOff>276225</xdr:colOff>
      <xdr:row>149</xdr:row>
      <xdr:rowOff>514350</xdr:rowOff>
    </xdr:to>
    <xdr:sp macro="" textlink="">
      <xdr:nvSpPr>
        <xdr:cNvPr id="46" name="Flowchart: Alternate Process 4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40586832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149</xdr:row>
      <xdr:rowOff>47625</xdr:rowOff>
    </xdr:from>
    <xdr:to>
      <xdr:col>17</xdr:col>
      <xdr:colOff>581024</xdr:colOff>
      <xdr:row>149</xdr:row>
      <xdr:rowOff>504825</xdr:rowOff>
    </xdr:to>
    <xdr:sp macro="" textlink="">
      <xdr:nvSpPr>
        <xdr:cNvPr id="47" name="Flowchart: Alternate Process 4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40577307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149</xdr:row>
      <xdr:rowOff>38100</xdr:rowOff>
    </xdr:from>
    <xdr:to>
      <xdr:col>17</xdr:col>
      <xdr:colOff>523874</xdr:colOff>
      <xdr:row>149</xdr:row>
      <xdr:rowOff>485775</xdr:rowOff>
    </xdr:to>
    <xdr:sp macro="" textlink="">
      <xdr:nvSpPr>
        <xdr:cNvPr id="48" name="6-Point Star 47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40567782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149</xdr:row>
      <xdr:rowOff>57150</xdr:rowOff>
    </xdr:from>
    <xdr:to>
      <xdr:col>8</xdr:col>
      <xdr:colOff>556970</xdr:colOff>
      <xdr:row>149</xdr:row>
      <xdr:rowOff>514350</xdr:rowOff>
    </xdr:to>
    <xdr:sp macro="" textlink="">
      <xdr:nvSpPr>
        <xdr:cNvPr id="49" name="Flowchart: Alternate Process 4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40586832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149</xdr:row>
      <xdr:rowOff>57150</xdr:rowOff>
    </xdr:from>
    <xdr:to>
      <xdr:col>14</xdr:col>
      <xdr:colOff>276225</xdr:colOff>
      <xdr:row>149</xdr:row>
      <xdr:rowOff>514350</xdr:rowOff>
    </xdr:to>
    <xdr:sp macro="" textlink="">
      <xdr:nvSpPr>
        <xdr:cNvPr id="50" name="Flowchart: Alternate Process 4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40586832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149</xdr:row>
      <xdr:rowOff>47625</xdr:rowOff>
    </xdr:from>
    <xdr:to>
      <xdr:col>17</xdr:col>
      <xdr:colOff>581024</xdr:colOff>
      <xdr:row>149</xdr:row>
      <xdr:rowOff>504825</xdr:rowOff>
    </xdr:to>
    <xdr:sp macro="" textlink="">
      <xdr:nvSpPr>
        <xdr:cNvPr id="51" name="Flowchart: Alternate Process 5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40577307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149</xdr:row>
      <xdr:rowOff>38100</xdr:rowOff>
    </xdr:from>
    <xdr:to>
      <xdr:col>17</xdr:col>
      <xdr:colOff>523874</xdr:colOff>
      <xdr:row>149</xdr:row>
      <xdr:rowOff>485775</xdr:rowOff>
    </xdr:to>
    <xdr:sp macro="" textlink="">
      <xdr:nvSpPr>
        <xdr:cNvPr id="52" name="6-Point Star 5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40567782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7</a:t>
          </a:r>
        </a:p>
      </xdr:txBody>
    </xdr:sp>
    <xdr:clientData/>
  </xdr:twoCellAnchor>
  <xdr:twoCellAnchor>
    <xdr:from>
      <xdr:col>1</xdr:col>
      <xdr:colOff>104775</xdr:colOff>
      <xdr:row>172</xdr:row>
      <xdr:rowOff>57150</xdr:rowOff>
    </xdr:from>
    <xdr:to>
      <xdr:col>8</xdr:col>
      <xdr:colOff>295276</xdr:colOff>
      <xdr:row>172</xdr:row>
      <xdr:rowOff>514350</xdr:rowOff>
    </xdr:to>
    <xdr:sp macro="" textlink="">
      <xdr:nvSpPr>
        <xdr:cNvPr id="53" name="Flowchart: Alternate Process 5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48586218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172</xdr:row>
      <xdr:rowOff>57150</xdr:rowOff>
    </xdr:from>
    <xdr:to>
      <xdr:col>14</xdr:col>
      <xdr:colOff>276225</xdr:colOff>
      <xdr:row>172</xdr:row>
      <xdr:rowOff>514350</xdr:rowOff>
    </xdr:to>
    <xdr:sp macro="" textlink="">
      <xdr:nvSpPr>
        <xdr:cNvPr id="54" name="Flowchart: Alternate Process 5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48586218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172</xdr:row>
      <xdr:rowOff>47625</xdr:rowOff>
    </xdr:from>
    <xdr:to>
      <xdr:col>17</xdr:col>
      <xdr:colOff>581024</xdr:colOff>
      <xdr:row>172</xdr:row>
      <xdr:rowOff>504825</xdr:rowOff>
    </xdr:to>
    <xdr:sp macro="" textlink="">
      <xdr:nvSpPr>
        <xdr:cNvPr id="55" name="Flowchart: Alternate Process 5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48576693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172</xdr:row>
      <xdr:rowOff>38100</xdr:rowOff>
    </xdr:from>
    <xdr:to>
      <xdr:col>17</xdr:col>
      <xdr:colOff>523874</xdr:colOff>
      <xdr:row>172</xdr:row>
      <xdr:rowOff>485775</xdr:rowOff>
    </xdr:to>
    <xdr:sp macro="" textlink="">
      <xdr:nvSpPr>
        <xdr:cNvPr id="56" name="6-Point Star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48567168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172</xdr:row>
      <xdr:rowOff>57150</xdr:rowOff>
    </xdr:from>
    <xdr:to>
      <xdr:col>8</xdr:col>
      <xdr:colOff>556970</xdr:colOff>
      <xdr:row>172</xdr:row>
      <xdr:rowOff>514350</xdr:rowOff>
    </xdr:to>
    <xdr:sp macro="" textlink="">
      <xdr:nvSpPr>
        <xdr:cNvPr id="57" name="Flowchart: Alternate Process 56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48586218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172</xdr:row>
      <xdr:rowOff>57150</xdr:rowOff>
    </xdr:from>
    <xdr:to>
      <xdr:col>14</xdr:col>
      <xdr:colOff>276225</xdr:colOff>
      <xdr:row>172</xdr:row>
      <xdr:rowOff>514350</xdr:rowOff>
    </xdr:to>
    <xdr:sp macro="" textlink="">
      <xdr:nvSpPr>
        <xdr:cNvPr id="58" name="Flowchart: Alternate Process 57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48586218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172</xdr:row>
      <xdr:rowOff>47625</xdr:rowOff>
    </xdr:from>
    <xdr:to>
      <xdr:col>17</xdr:col>
      <xdr:colOff>581024</xdr:colOff>
      <xdr:row>172</xdr:row>
      <xdr:rowOff>504825</xdr:rowOff>
    </xdr:to>
    <xdr:sp macro="" textlink="">
      <xdr:nvSpPr>
        <xdr:cNvPr id="59" name="Flowchart: Alternate Process 58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48576693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172</xdr:row>
      <xdr:rowOff>38100</xdr:rowOff>
    </xdr:from>
    <xdr:to>
      <xdr:col>17</xdr:col>
      <xdr:colOff>523874</xdr:colOff>
      <xdr:row>172</xdr:row>
      <xdr:rowOff>485775</xdr:rowOff>
    </xdr:to>
    <xdr:sp macro="" textlink="">
      <xdr:nvSpPr>
        <xdr:cNvPr id="60" name="6-Point Star 5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48567168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8</a:t>
          </a:r>
        </a:p>
      </xdr:txBody>
    </xdr:sp>
    <xdr:clientData/>
  </xdr:twoCellAnchor>
  <xdr:twoCellAnchor>
    <xdr:from>
      <xdr:col>1</xdr:col>
      <xdr:colOff>104775</xdr:colOff>
      <xdr:row>195</xdr:row>
      <xdr:rowOff>57150</xdr:rowOff>
    </xdr:from>
    <xdr:to>
      <xdr:col>8</xdr:col>
      <xdr:colOff>295276</xdr:colOff>
      <xdr:row>195</xdr:row>
      <xdr:rowOff>514350</xdr:rowOff>
    </xdr:to>
    <xdr:sp macro="" textlink="">
      <xdr:nvSpPr>
        <xdr:cNvPr id="61" name="Flowchart: Alternate Process 6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56585603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195</xdr:row>
      <xdr:rowOff>57150</xdr:rowOff>
    </xdr:from>
    <xdr:to>
      <xdr:col>14</xdr:col>
      <xdr:colOff>276225</xdr:colOff>
      <xdr:row>195</xdr:row>
      <xdr:rowOff>514350</xdr:rowOff>
    </xdr:to>
    <xdr:sp macro="" textlink="">
      <xdr:nvSpPr>
        <xdr:cNvPr id="62" name="Flowchart: Alternate Process 6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56585603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195</xdr:row>
      <xdr:rowOff>47625</xdr:rowOff>
    </xdr:from>
    <xdr:to>
      <xdr:col>17</xdr:col>
      <xdr:colOff>581024</xdr:colOff>
      <xdr:row>195</xdr:row>
      <xdr:rowOff>504825</xdr:rowOff>
    </xdr:to>
    <xdr:sp macro="" textlink="">
      <xdr:nvSpPr>
        <xdr:cNvPr id="63" name="Flowchart: Alternate Process 6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56576078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195</xdr:row>
      <xdr:rowOff>38100</xdr:rowOff>
    </xdr:from>
    <xdr:to>
      <xdr:col>17</xdr:col>
      <xdr:colOff>523874</xdr:colOff>
      <xdr:row>195</xdr:row>
      <xdr:rowOff>485775</xdr:rowOff>
    </xdr:to>
    <xdr:sp macro="" textlink="">
      <xdr:nvSpPr>
        <xdr:cNvPr id="64" name="6-Point Star 6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56566553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195</xdr:row>
      <xdr:rowOff>57150</xdr:rowOff>
    </xdr:from>
    <xdr:to>
      <xdr:col>8</xdr:col>
      <xdr:colOff>556970</xdr:colOff>
      <xdr:row>195</xdr:row>
      <xdr:rowOff>514350</xdr:rowOff>
    </xdr:to>
    <xdr:sp macro="" textlink="">
      <xdr:nvSpPr>
        <xdr:cNvPr id="65" name="Flowchart: Alternate Process 64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56585603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195</xdr:row>
      <xdr:rowOff>57150</xdr:rowOff>
    </xdr:from>
    <xdr:to>
      <xdr:col>14</xdr:col>
      <xdr:colOff>276225</xdr:colOff>
      <xdr:row>195</xdr:row>
      <xdr:rowOff>514350</xdr:rowOff>
    </xdr:to>
    <xdr:sp macro="" textlink="">
      <xdr:nvSpPr>
        <xdr:cNvPr id="66" name="Flowchart: Alternate Process 65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56585603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195</xdr:row>
      <xdr:rowOff>47625</xdr:rowOff>
    </xdr:from>
    <xdr:to>
      <xdr:col>17</xdr:col>
      <xdr:colOff>581024</xdr:colOff>
      <xdr:row>195</xdr:row>
      <xdr:rowOff>504825</xdr:rowOff>
    </xdr:to>
    <xdr:sp macro="" textlink="">
      <xdr:nvSpPr>
        <xdr:cNvPr id="67" name="Flowchart: Alternate Process 66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56576078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195</xdr:row>
      <xdr:rowOff>38100</xdr:rowOff>
    </xdr:from>
    <xdr:to>
      <xdr:col>17</xdr:col>
      <xdr:colOff>523874</xdr:colOff>
      <xdr:row>195</xdr:row>
      <xdr:rowOff>485775</xdr:rowOff>
    </xdr:to>
    <xdr:sp macro="" textlink="">
      <xdr:nvSpPr>
        <xdr:cNvPr id="68" name="6-Point Star 67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56566553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9</a:t>
          </a:r>
        </a:p>
      </xdr:txBody>
    </xdr:sp>
    <xdr:clientData/>
  </xdr:twoCellAnchor>
  <xdr:twoCellAnchor>
    <xdr:from>
      <xdr:col>1</xdr:col>
      <xdr:colOff>104775</xdr:colOff>
      <xdr:row>218</xdr:row>
      <xdr:rowOff>57150</xdr:rowOff>
    </xdr:from>
    <xdr:to>
      <xdr:col>8</xdr:col>
      <xdr:colOff>295276</xdr:colOff>
      <xdr:row>218</xdr:row>
      <xdr:rowOff>514350</xdr:rowOff>
    </xdr:to>
    <xdr:sp macro="" textlink="">
      <xdr:nvSpPr>
        <xdr:cNvPr id="69" name="Flowchart: Alternate Process 6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56585603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218</xdr:row>
      <xdr:rowOff>57150</xdr:rowOff>
    </xdr:from>
    <xdr:to>
      <xdr:col>14</xdr:col>
      <xdr:colOff>276225</xdr:colOff>
      <xdr:row>218</xdr:row>
      <xdr:rowOff>514350</xdr:rowOff>
    </xdr:to>
    <xdr:sp macro="" textlink="">
      <xdr:nvSpPr>
        <xdr:cNvPr id="70" name="Flowchart: Alternate Process 6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56585603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218</xdr:row>
      <xdr:rowOff>47625</xdr:rowOff>
    </xdr:from>
    <xdr:to>
      <xdr:col>17</xdr:col>
      <xdr:colOff>581024</xdr:colOff>
      <xdr:row>218</xdr:row>
      <xdr:rowOff>504825</xdr:rowOff>
    </xdr:to>
    <xdr:sp macro="" textlink="">
      <xdr:nvSpPr>
        <xdr:cNvPr id="71" name="Flowchart: Alternate Process 7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56576078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218</xdr:row>
      <xdr:rowOff>38100</xdr:rowOff>
    </xdr:from>
    <xdr:to>
      <xdr:col>17</xdr:col>
      <xdr:colOff>523874</xdr:colOff>
      <xdr:row>218</xdr:row>
      <xdr:rowOff>485775</xdr:rowOff>
    </xdr:to>
    <xdr:sp macro="" textlink="">
      <xdr:nvSpPr>
        <xdr:cNvPr id="72" name="6-Point Star 7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56566553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218</xdr:row>
      <xdr:rowOff>57150</xdr:rowOff>
    </xdr:from>
    <xdr:to>
      <xdr:col>8</xdr:col>
      <xdr:colOff>556970</xdr:colOff>
      <xdr:row>218</xdr:row>
      <xdr:rowOff>514350</xdr:rowOff>
    </xdr:to>
    <xdr:sp macro="" textlink="">
      <xdr:nvSpPr>
        <xdr:cNvPr id="73" name="Flowchart: Alternate Process 72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56585603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218</xdr:row>
      <xdr:rowOff>57150</xdr:rowOff>
    </xdr:from>
    <xdr:to>
      <xdr:col>14</xdr:col>
      <xdr:colOff>276225</xdr:colOff>
      <xdr:row>218</xdr:row>
      <xdr:rowOff>514350</xdr:rowOff>
    </xdr:to>
    <xdr:sp macro="" textlink="">
      <xdr:nvSpPr>
        <xdr:cNvPr id="74" name="Flowchart: Alternate Process 73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56585603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218</xdr:row>
      <xdr:rowOff>47625</xdr:rowOff>
    </xdr:from>
    <xdr:to>
      <xdr:col>17</xdr:col>
      <xdr:colOff>581024</xdr:colOff>
      <xdr:row>218</xdr:row>
      <xdr:rowOff>504825</xdr:rowOff>
    </xdr:to>
    <xdr:sp macro="" textlink="">
      <xdr:nvSpPr>
        <xdr:cNvPr id="75" name="Flowchart: Alternate Process 7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56576078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218</xdr:row>
      <xdr:rowOff>38100</xdr:rowOff>
    </xdr:from>
    <xdr:to>
      <xdr:col>17</xdr:col>
      <xdr:colOff>523874</xdr:colOff>
      <xdr:row>218</xdr:row>
      <xdr:rowOff>485775</xdr:rowOff>
    </xdr:to>
    <xdr:sp macro="" textlink="">
      <xdr:nvSpPr>
        <xdr:cNvPr id="76" name="6-Point Star 75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56566553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10</a:t>
          </a:r>
        </a:p>
      </xdr:txBody>
    </xdr:sp>
    <xdr:clientData/>
  </xdr:twoCellAnchor>
  <xdr:twoCellAnchor>
    <xdr:from>
      <xdr:col>1</xdr:col>
      <xdr:colOff>104775</xdr:colOff>
      <xdr:row>241</xdr:row>
      <xdr:rowOff>57150</xdr:rowOff>
    </xdr:from>
    <xdr:to>
      <xdr:col>8</xdr:col>
      <xdr:colOff>295276</xdr:colOff>
      <xdr:row>241</xdr:row>
      <xdr:rowOff>514350</xdr:rowOff>
    </xdr:to>
    <xdr:sp macro="" textlink="">
      <xdr:nvSpPr>
        <xdr:cNvPr id="77" name="Flowchart: Alternate Process 7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72584375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241</xdr:row>
      <xdr:rowOff>57150</xdr:rowOff>
    </xdr:from>
    <xdr:to>
      <xdr:col>14</xdr:col>
      <xdr:colOff>276225</xdr:colOff>
      <xdr:row>241</xdr:row>
      <xdr:rowOff>514350</xdr:rowOff>
    </xdr:to>
    <xdr:sp macro="" textlink="">
      <xdr:nvSpPr>
        <xdr:cNvPr id="78" name="Flowchart: Alternate Process 7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72584375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241</xdr:row>
      <xdr:rowOff>47625</xdr:rowOff>
    </xdr:from>
    <xdr:to>
      <xdr:col>17</xdr:col>
      <xdr:colOff>581024</xdr:colOff>
      <xdr:row>241</xdr:row>
      <xdr:rowOff>504825</xdr:rowOff>
    </xdr:to>
    <xdr:sp macro="" textlink="">
      <xdr:nvSpPr>
        <xdr:cNvPr id="79" name="Flowchart: Alternate Process 7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72574850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241</xdr:row>
      <xdr:rowOff>38100</xdr:rowOff>
    </xdr:from>
    <xdr:to>
      <xdr:col>17</xdr:col>
      <xdr:colOff>523874</xdr:colOff>
      <xdr:row>241</xdr:row>
      <xdr:rowOff>485775</xdr:rowOff>
    </xdr:to>
    <xdr:sp macro="" textlink="">
      <xdr:nvSpPr>
        <xdr:cNvPr id="80" name="6-Point Star 7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72565325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241</xdr:row>
      <xdr:rowOff>57150</xdr:rowOff>
    </xdr:from>
    <xdr:to>
      <xdr:col>8</xdr:col>
      <xdr:colOff>556970</xdr:colOff>
      <xdr:row>241</xdr:row>
      <xdr:rowOff>514350</xdr:rowOff>
    </xdr:to>
    <xdr:sp macro="" textlink="">
      <xdr:nvSpPr>
        <xdr:cNvPr id="81" name="Flowchart: Alternate Process 80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72584375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241</xdr:row>
      <xdr:rowOff>57150</xdr:rowOff>
    </xdr:from>
    <xdr:to>
      <xdr:col>14</xdr:col>
      <xdr:colOff>276225</xdr:colOff>
      <xdr:row>241</xdr:row>
      <xdr:rowOff>514350</xdr:rowOff>
    </xdr:to>
    <xdr:sp macro="" textlink="">
      <xdr:nvSpPr>
        <xdr:cNvPr id="82" name="Flowchart: Alternate Process 8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72584375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241</xdr:row>
      <xdr:rowOff>47625</xdr:rowOff>
    </xdr:from>
    <xdr:to>
      <xdr:col>17</xdr:col>
      <xdr:colOff>581024</xdr:colOff>
      <xdr:row>241</xdr:row>
      <xdr:rowOff>504825</xdr:rowOff>
    </xdr:to>
    <xdr:sp macro="" textlink="">
      <xdr:nvSpPr>
        <xdr:cNvPr id="83" name="Flowchart: Alternate Process 82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72574850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241</xdr:row>
      <xdr:rowOff>38100</xdr:rowOff>
    </xdr:from>
    <xdr:to>
      <xdr:col>17</xdr:col>
      <xdr:colOff>523874</xdr:colOff>
      <xdr:row>241</xdr:row>
      <xdr:rowOff>485775</xdr:rowOff>
    </xdr:to>
    <xdr:sp macro="" textlink="">
      <xdr:nvSpPr>
        <xdr:cNvPr id="84" name="6-Point Star 83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72565325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11</a:t>
          </a:r>
        </a:p>
      </xdr:txBody>
    </xdr:sp>
    <xdr:clientData/>
  </xdr:twoCellAnchor>
  <xdr:twoCellAnchor>
    <xdr:from>
      <xdr:col>1</xdr:col>
      <xdr:colOff>104775</xdr:colOff>
      <xdr:row>264</xdr:row>
      <xdr:rowOff>57150</xdr:rowOff>
    </xdr:from>
    <xdr:to>
      <xdr:col>8</xdr:col>
      <xdr:colOff>295276</xdr:colOff>
      <xdr:row>264</xdr:row>
      <xdr:rowOff>514350</xdr:rowOff>
    </xdr:to>
    <xdr:sp macro="" textlink="">
      <xdr:nvSpPr>
        <xdr:cNvPr id="85" name="Flowchart: Alternate Process 8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80583760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264</xdr:row>
      <xdr:rowOff>57150</xdr:rowOff>
    </xdr:from>
    <xdr:to>
      <xdr:col>14</xdr:col>
      <xdr:colOff>276225</xdr:colOff>
      <xdr:row>264</xdr:row>
      <xdr:rowOff>514350</xdr:rowOff>
    </xdr:to>
    <xdr:sp macro="" textlink="">
      <xdr:nvSpPr>
        <xdr:cNvPr id="86" name="Flowchart: Alternate Process 8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80583760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264</xdr:row>
      <xdr:rowOff>47625</xdr:rowOff>
    </xdr:from>
    <xdr:to>
      <xdr:col>17</xdr:col>
      <xdr:colOff>581024</xdr:colOff>
      <xdr:row>264</xdr:row>
      <xdr:rowOff>504825</xdr:rowOff>
    </xdr:to>
    <xdr:sp macro="" textlink="">
      <xdr:nvSpPr>
        <xdr:cNvPr id="87" name="Flowchart: Alternate Process 8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80574235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264</xdr:row>
      <xdr:rowOff>38100</xdr:rowOff>
    </xdr:from>
    <xdr:to>
      <xdr:col>17</xdr:col>
      <xdr:colOff>523874</xdr:colOff>
      <xdr:row>264</xdr:row>
      <xdr:rowOff>485775</xdr:rowOff>
    </xdr:to>
    <xdr:sp macro="" textlink="">
      <xdr:nvSpPr>
        <xdr:cNvPr id="88" name="6-Point Star 87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80564710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264</xdr:row>
      <xdr:rowOff>57150</xdr:rowOff>
    </xdr:from>
    <xdr:to>
      <xdr:col>8</xdr:col>
      <xdr:colOff>556970</xdr:colOff>
      <xdr:row>264</xdr:row>
      <xdr:rowOff>514350</xdr:rowOff>
    </xdr:to>
    <xdr:sp macro="" textlink="">
      <xdr:nvSpPr>
        <xdr:cNvPr id="89" name="Flowchart: Alternate Process 8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80583760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264</xdr:row>
      <xdr:rowOff>57150</xdr:rowOff>
    </xdr:from>
    <xdr:to>
      <xdr:col>14</xdr:col>
      <xdr:colOff>276225</xdr:colOff>
      <xdr:row>264</xdr:row>
      <xdr:rowOff>514350</xdr:rowOff>
    </xdr:to>
    <xdr:sp macro="" textlink="">
      <xdr:nvSpPr>
        <xdr:cNvPr id="90" name="Flowchart: Alternate Process 8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80583760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264</xdr:row>
      <xdr:rowOff>47625</xdr:rowOff>
    </xdr:from>
    <xdr:to>
      <xdr:col>17</xdr:col>
      <xdr:colOff>581024</xdr:colOff>
      <xdr:row>264</xdr:row>
      <xdr:rowOff>504825</xdr:rowOff>
    </xdr:to>
    <xdr:sp macro="" textlink="">
      <xdr:nvSpPr>
        <xdr:cNvPr id="92" name="Flowchart: Alternate Process 9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80574235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264</xdr:row>
      <xdr:rowOff>38100</xdr:rowOff>
    </xdr:from>
    <xdr:to>
      <xdr:col>17</xdr:col>
      <xdr:colOff>523874</xdr:colOff>
      <xdr:row>264</xdr:row>
      <xdr:rowOff>485775</xdr:rowOff>
    </xdr:to>
    <xdr:sp macro="" textlink="">
      <xdr:nvSpPr>
        <xdr:cNvPr id="93" name="6-Point Star 92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80564710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12</a:t>
          </a:r>
        </a:p>
      </xdr:txBody>
    </xdr:sp>
    <xdr:clientData/>
  </xdr:twoCellAnchor>
  <xdr:twoCellAnchor>
    <xdr:from>
      <xdr:col>1</xdr:col>
      <xdr:colOff>104775</xdr:colOff>
      <xdr:row>287</xdr:row>
      <xdr:rowOff>57150</xdr:rowOff>
    </xdr:from>
    <xdr:to>
      <xdr:col>8</xdr:col>
      <xdr:colOff>295276</xdr:colOff>
      <xdr:row>287</xdr:row>
      <xdr:rowOff>514350</xdr:rowOff>
    </xdr:to>
    <xdr:sp macro="" textlink="">
      <xdr:nvSpPr>
        <xdr:cNvPr id="95" name="Flowchart: Alternate Process 9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9351" y="88583146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287</xdr:row>
      <xdr:rowOff>57150</xdr:rowOff>
    </xdr:from>
    <xdr:to>
      <xdr:col>14</xdr:col>
      <xdr:colOff>276225</xdr:colOff>
      <xdr:row>287</xdr:row>
      <xdr:rowOff>514350</xdr:rowOff>
    </xdr:to>
    <xdr:sp macro="" textlink="">
      <xdr:nvSpPr>
        <xdr:cNvPr id="96" name="Flowchart: Alternate Process 9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8679" y="88583146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287</xdr:row>
      <xdr:rowOff>47625</xdr:rowOff>
    </xdr:from>
    <xdr:to>
      <xdr:col>17</xdr:col>
      <xdr:colOff>581024</xdr:colOff>
      <xdr:row>287</xdr:row>
      <xdr:rowOff>504825</xdr:rowOff>
    </xdr:to>
    <xdr:sp macro="" textlink="">
      <xdr:nvSpPr>
        <xdr:cNvPr id="97" name="Flowchart: Alternate Process 9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483993" y="88573621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287</xdr:row>
      <xdr:rowOff>38100</xdr:rowOff>
    </xdr:from>
    <xdr:to>
      <xdr:col>17</xdr:col>
      <xdr:colOff>523874</xdr:colOff>
      <xdr:row>287</xdr:row>
      <xdr:rowOff>485775</xdr:rowOff>
    </xdr:to>
    <xdr:sp macro="" textlink="">
      <xdr:nvSpPr>
        <xdr:cNvPr id="98" name="6-Point Star 97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00151" y="88564096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287</xdr:row>
      <xdr:rowOff>57150</xdr:rowOff>
    </xdr:from>
    <xdr:to>
      <xdr:col>8</xdr:col>
      <xdr:colOff>556970</xdr:colOff>
      <xdr:row>287</xdr:row>
      <xdr:rowOff>514350</xdr:rowOff>
    </xdr:to>
    <xdr:sp macro="" textlink="">
      <xdr:nvSpPr>
        <xdr:cNvPr id="107" name="Flowchart: Alternate Process 106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69351" y="88583146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287</xdr:row>
      <xdr:rowOff>57150</xdr:rowOff>
    </xdr:from>
    <xdr:to>
      <xdr:col>14</xdr:col>
      <xdr:colOff>276225</xdr:colOff>
      <xdr:row>287</xdr:row>
      <xdr:rowOff>514350</xdr:rowOff>
    </xdr:to>
    <xdr:sp macro="" textlink="">
      <xdr:nvSpPr>
        <xdr:cNvPr id="108" name="Flowchart: Alternate Process 107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5508679" y="88583146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287</xdr:row>
      <xdr:rowOff>47625</xdr:rowOff>
    </xdr:from>
    <xdr:to>
      <xdr:col>17</xdr:col>
      <xdr:colOff>581024</xdr:colOff>
      <xdr:row>287</xdr:row>
      <xdr:rowOff>504825</xdr:rowOff>
    </xdr:to>
    <xdr:sp macro="" textlink="">
      <xdr:nvSpPr>
        <xdr:cNvPr id="109" name="Flowchart: Alternate Process 108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9483993" y="88573621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287</xdr:row>
      <xdr:rowOff>38100</xdr:rowOff>
    </xdr:from>
    <xdr:to>
      <xdr:col>17</xdr:col>
      <xdr:colOff>523874</xdr:colOff>
      <xdr:row>287</xdr:row>
      <xdr:rowOff>485775</xdr:rowOff>
    </xdr:to>
    <xdr:sp macro="" textlink="">
      <xdr:nvSpPr>
        <xdr:cNvPr id="110" name="6-Point Star 10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900151" y="88564096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13</a:t>
          </a:r>
        </a:p>
      </xdr:txBody>
    </xdr:sp>
    <xdr:clientData/>
  </xdr:twoCellAnchor>
  <xdr:twoCellAnchor>
    <xdr:from>
      <xdr:col>1</xdr:col>
      <xdr:colOff>104775</xdr:colOff>
      <xdr:row>310</xdr:row>
      <xdr:rowOff>57150</xdr:rowOff>
    </xdr:from>
    <xdr:to>
      <xdr:col>8</xdr:col>
      <xdr:colOff>295276</xdr:colOff>
      <xdr:row>310</xdr:row>
      <xdr:rowOff>514350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72D20B40-0E98-40CB-AEC5-B331F821DDC3}"/>
            </a:ext>
          </a:extLst>
        </xdr:cNvPr>
        <xdr:cNvSpPr/>
      </xdr:nvSpPr>
      <xdr:spPr>
        <a:xfrm>
          <a:off x="169351" y="96582531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310</xdr:row>
      <xdr:rowOff>57150</xdr:rowOff>
    </xdr:from>
    <xdr:to>
      <xdr:col>14</xdr:col>
      <xdr:colOff>276225</xdr:colOff>
      <xdr:row>310</xdr:row>
      <xdr:rowOff>514350</xdr:rowOff>
    </xdr:to>
    <xdr:sp macro="" textlink="">
      <xdr:nvSpPr>
        <xdr:cNvPr id="15" name="Flowchart: Alternate Process 14">
          <a:extLst>
            <a:ext uri="{FF2B5EF4-FFF2-40B4-BE49-F238E27FC236}">
              <a16:creationId xmlns:a16="http://schemas.microsoft.com/office/drawing/2014/main" id="{6BD655FB-C66A-4C43-BF2E-77441B06B289}"/>
            </a:ext>
          </a:extLst>
        </xdr:cNvPr>
        <xdr:cNvSpPr/>
      </xdr:nvSpPr>
      <xdr:spPr>
        <a:xfrm>
          <a:off x="5508679" y="96582531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310</xdr:row>
      <xdr:rowOff>47625</xdr:rowOff>
    </xdr:from>
    <xdr:to>
      <xdr:col>17</xdr:col>
      <xdr:colOff>581024</xdr:colOff>
      <xdr:row>310</xdr:row>
      <xdr:rowOff>504825</xdr:rowOff>
    </xdr:to>
    <xdr:sp macro="" textlink="">
      <xdr:nvSpPr>
        <xdr:cNvPr id="16" name="Flowchart: Alternate Process 15">
          <a:extLst>
            <a:ext uri="{FF2B5EF4-FFF2-40B4-BE49-F238E27FC236}">
              <a16:creationId xmlns:a16="http://schemas.microsoft.com/office/drawing/2014/main" id="{BA0A653F-05C4-488B-8957-7E8DFF7B864C}"/>
            </a:ext>
          </a:extLst>
        </xdr:cNvPr>
        <xdr:cNvSpPr/>
      </xdr:nvSpPr>
      <xdr:spPr>
        <a:xfrm>
          <a:off x="9483993" y="96573006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310</xdr:row>
      <xdr:rowOff>38100</xdr:rowOff>
    </xdr:from>
    <xdr:to>
      <xdr:col>17</xdr:col>
      <xdr:colOff>523874</xdr:colOff>
      <xdr:row>310</xdr:row>
      <xdr:rowOff>485775</xdr:rowOff>
    </xdr:to>
    <xdr:sp macro="" textlink="">
      <xdr:nvSpPr>
        <xdr:cNvPr id="17" name="6-Point Star 97">
          <a:extLst>
            <a:ext uri="{FF2B5EF4-FFF2-40B4-BE49-F238E27FC236}">
              <a16:creationId xmlns:a16="http://schemas.microsoft.com/office/drawing/2014/main" id="{B639E2FF-F1FC-4CD1-BE00-D299EB309162}"/>
            </a:ext>
          </a:extLst>
        </xdr:cNvPr>
        <xdr:cNvSpPr/>
      </xdr:nvSpPr>
      <xdr:spPr>
        <a:xfrm>
          <a:off x="10900151" y="96563481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310</xdr:row>
      <xdr:rowOff>57150</xdr:rowOff>
    </xdr:from>
    <xdr:to>
      <xdr:col>8</xdr:col>
      <xdr:colOff>556970</xdr:colOff>
      <xdr:row>310</xdr:row>
      <xdr:rowOff>514350</xdr:rowOff>
    </xdr:to>
    <xdr:sp macro="" textlink="">
      <xdr:nvSpPr>
        <xdr:cNvPr id="18" name="Flowchart: Alternate Process 17">
          <a:extLst>
            <a:ext uri="{FF2B5EF4-FFF2-40B4-BE49-F238E27FC236}">
              <a16:creationId xmlns:a16="http://schemas.microsoft.com/office/drawing/2014/main" id="{A1CFD33E-1C48-450D-A908-5BDE51BAD27D}"/>
            </a:ext>
          </a:extLst>
        </xdr:cNvPr>
        <xdr:cNvSpPr/>
      </xdr:nvSpPr>
      <xdr:spPr>
        <a:xfrm>
          <a:off x="169351" y="96582531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310</xdr:row>
      <xdr:rowOff>57150</xdr:rowOff>
    </xdr:from>
    <xdr:to>
      <xdr:col>14</xdr:col>
      <xdr:colOff>276225</xdr:colOff>
      <xdr:row>310</xdr:row>
      <xdr:rowOff>514350</xdr:rowOff>
    </xdr:to>
    <xdr:sp macro="" textlink="">
      <xdr:nvSpPr>
        <xdr:cNvPr id="19" name="Flowchart: Alternate Process 18">
          <a:extLst>
            <a:ext uri="{FF2B5EF4-FFF2-40B4-BE49-F238E27FC236}">
              <a16:creationId xmlns:a16="http://schemas.microsoft.com/office/drawing/2014/main" id="{27D84090-2143-49DD-9D1D-F5673C2D2888}"/>
            </a:ext>
          </a:extLst>
        </xdr:cNvPr>
        <xdr:cNvSpPr/>
      </xdr:nvSpPr>
      <xdr:spPr>
        <a:xfrm>
          <a:off x="5508679" y="96582531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310</xdr:row>
      <xdr:rowOff>47625</xdr:rowOff>
    </xdr:from>
    <xdr:to>
      <xdr:col>17</xdr:col>
      <xdr:colOff>581024</xdr:colOff>
      <xdr:row>310</xdr:row>
      <xdr:rowOff>504825</xdr:rowOff>
    </xdr:to>
    <xdr:sp macro="" textlink="">
      <xdr:nvSpPr>
        <xdr:cNvPr id="20" name="Flowchart: Alternate Process 19">
          <a:extLst>
            <a:ext uri="{FF2B5EF4-FFF2-40B4-BE49-F238E27FC236}">
              <a16:creationId xmlns:a16="http://schemas.microsoft.com/office/drawing/2014/main" id="{3A5DDF21-CCD0-41EF-9188-714C05306F7D}"/>
            </a:ext>
          </a:extLst>
        </xdr:cNvPr>
        <xdr:cNvSpPr/>
      </xdr:nvSpPr>
      <xdr:spPr>
        <a:xfrm>
          <a:off x="9483993" y="96573006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310</xdr:row>
      <xdr:rowOff>38100</xdr:rowOff>
    </xdr:from>
    <xdr:to>
      <xdr:col>17</xdr:col>
      <xdr:colOff>523874</xdr:colOff>
      <xdr:row>310</xdr:row>
      <xdr:rowOff>485775</xdr:rowOff>
    </xdr:to>
    <xdr:sp macro="" textlink="">
      <xdr:nvSpPr>
        <xdr:cNvPr id="21" name="6-Point Star 109">
          <a:extLst>
            <a:ext uri="{FF2B5EF4-FFF2-40B4-BE49-F238E27FC236}">
              <a16:creationId xmlns:a16="http://schemas.microsoft.com/office/drawing/2014/main" id="{E9CC174C-9EEF-44A5-BBAF-74CCF8E644EF}"/>
            </a:ext>
          </a:extLst>
        </xdr:cNvPr>
        <xdr:cNvSpPr/>
      </xdr:nvSpPr>
      <xdr:spPr>
        <a:xfrm>
          <a:off x="10900151" y="96563481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14</a:t>
          </a:r>
        </a:p>
      </xdr:txBody>
    </xdr:sp>
    <xdr:clientData/>
  </xdr:twoCellAnchor>
  <xdr:twoCellAnchor>
    <xdr:from>
      <xdr:col>1</xdr:col>
      <xdr:colOff>104775</xdr:colOff>
      <xdr:row>333</xdr:row>
      <xdr:rowOff>57150</xdr:rowOff>
    </xdr:from>
    <xdr:to>
      <xdr:col>8</xdr:col>
      <xdr:colOff>295276</xdr:colOff>
      <xdr:row>333</xdr:row>
      <xdr:rowOff>514350</xdr:rowOff>
    </xdr:to>
    <xdr:sp macro="" textlink="">
      <xdr:nvSpPr>
        <xdr:cNvPr id="22" name="Flowchart: Alternate Process 21">
          <a:extLst>
            <a:ext uri="{FF2B5EF4-FFF2-40B4-BE49-F238E27FC236}">
              <a16:creationId xmlns:a16="http://schemas.microsoft.com/office/drawing/2014/main" id="{80749E4E-9660-4842-A172-BEC64FE0DD6A}"/>
            </a:ext>
          </a:extLst>
        </xdr:cNvPr>
        <xdr:cNvSpPr/>
      </xdr:nvSpPr>
      <xdr:spPr>
        <a:xfrm>
          <a:off x="169351" y="104581917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333</xdr:row>
      <xdr:rowOff>57150</xdr:rowOff>
    </xdr:from>
    <xdr:to>
      <xdr:col>14</xdr:col>
      <xdr:colOff>276225</xdr:colOff>
      <xdr:row>333</xdr:row>
      <xdr:rowOff>514350</xdr:rowOff>
    </xdr:to>
    <xdr:sp macro="" textlink="">
      <xdr:nvSpPr>
        <xdr:cNvPr id="23" name="Flowchart: Alternate Process 22">
          <a:extLst>
            <a:ext uri="{FF2B5EF4-FFF2-40B4-BE49-F238E27FC236}">
              <a16:creationId xmlns:a16="http://schemas.microsoft.com/office/drawing/2014/main" id="{83F77AE8-B118-4EF9-8D6D-4FE323CA4728}"/>
            </a:ext>
          </a:extLst>
        </xdr:cNvPr>
        <xdr:cNvSpPr/>
      </xdr:nvSpPr>
      <xdr:spPr>
        <a:xfrm>
          <a:off x="5508679" y="104581917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333</xdr:row>
      <xdr:rowOff>47625</xdr:rowOff>
    </xdr:from>
    <xdr:to>
      <xdr:col>17</xdr:col>
      <xdr:colOff>581024</xdr:colOff>
      <xdr:row>333</xdr:row>
      <xdr:rowOff>504825</xdr:rowOff>
    </xdr:to>
    <xdr:sp macro="" textlink="">
      <xdr:nvSpPr>
        <xdr:cNvPr id="24" name="Flowchart: Alternate Process 23">
          <a:extLst>
            <a:ext uri="{FF2B5EF4-FFF2-40B4-BE49-F238E27FC236}">
              <a16:creationId xmlns:a16="http://schemas.microsoft.com/office/drawing/2014/main" id="{471AC0B9-ABA9-4942-9B15-D0867A4197DC}"/>
            </a:ext>
          </a:extLst>
        </xdr:cNvPr>
        <xdr:cNvSpPr/>
      </xdr:nvSpPr>
      <xdr:spPr>
        <a:xfrm>
          <a:off x="9483993" y="104572392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333</xdr:row>
      <xdr:rowOff>38100</xdr:rowOff>
    </xdr:from>
    <xdr:to>
      <xdr:col>17</xdr:col>
      <xdr:colOff>523874</xdr:colOff>
      <xdr:row>333</xdr:row>
      <xdr:rowOff>485775</xdr:rowOff>
    </xdr:to>
    <xdr:sp macro="" textlink="">
      <xdr:nvSpPr>
        <xdr:cNvPr id="25" name="6-Point Star 97">
          <a:extLst>
            <a:ext uri="{FF2B5EF4-FFF2-40B4-BE49-F238E27FC236}">
              <a16:creationId xmlns:a16="http://schemas.microsoft.com/office/drawing/2014/main" id="{2149F1E1-ACD2-42F9-924B-D7367ED627E7}"/>
            </a:ext>
          </a:extLst>
        </xdr:cNvPr>
        <xdr:cNvSpPr/>
      </xdr:nvSpPr>
      <xdr:spPr>
        <a:xfrm>
          <a:off x="10900151" y="104562867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333</xdr:row>
      <xdr:rowOff>57150</xdr:rowOff>
    </xdr:from>
    <xdr:to>
      <xdr:col>8</xdr:col>
      <xdr:colOff>556970</xdr:colOff>
      <xdr:row>333</xdr:row>
      <xdr:rowOff>514350</xdr:rowOff>
    </xdr:to>
    <xdr:sp macro="" textlink="">
      <xdr:nvSpPr>
        <xdr:cNvPr id="26" name="Flowchart: Alternate Process 25">
          <a:extLst>
            <a:ext uri="{FF2B5EF4-FFF2-40B4-BE49-F238E27FC236}">
              <a16:creationId xmlns:a16="http://schemas.microsoft.com/office/drawing/2014/main" id="{A974D939-37E1-4A57-81D3-FF3CF3D622CF}"/>
            </a:ext>
          </a:extLst>
        </xdr:cNvPr>
        <xdr:cNvSpPr/>
      </xdr:nvSpPr>
      <xdr:spPr>
        <a:xfrm>
          <a:off x="169351" y="104581917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333</xdr:row>
      <xdr:rowOff>57150</xdr:rowOff>
    </xdr:from>
    <xdr:to>
      <xdr:col>14</xdr:col>
      <xdr:colOff>276225</xdr:colOff>
      <xdr:row>333</xdr:row>
      <xdr:rowOff>514350</xdr:rowOff>
    </xdr:to>
    <xdr:sp macro="" textlink="">
      <xdr:nvSpPr>
        <xdr:cNvPr id="27" name="Flowchart: Alternate Process 26">
          <a:extLst>
            <a:ext uri="{FF2B5EF4-FFF2-40B4-BE49-F238E27FC236}">
              <a16:creationId xmlns:a16="http://schemas.microsoft.com/office/drawing/2014/main" id="{6478A20D-C342-4252-A219-CDE5469F400C}"/>
            </a:ext>
          </a:extLst>
        </xdr:cNvPr>
        <xdr:cNvSpPr/>
      </xdr:nvSpPr>
      <xdr:spPr>
        <a:xfrm>
          <a:off x="5508679" y="104581917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333</xdr:row>
      <xdr:rowOff>47625</xdr:rowOff>
    </xdr:from>
    <xdr:to>
      <xdr:col>17</xdr:col>
      <xdr:colOff>581024</xdr:colOff>
      <xdr:row>333</xdr:row>
      <xdr:rowOff>504825</xdr:rowOff>
    </xdr:to>
    <xdr:sp macro="" textlink="">
      <xdr:nvSpPr>
        <xdr:cNvPr id="28" name="Flowchart: Alternate Process 27">
          <a:extLst>
            <a:ext uri="{FF2B5EF4-FFF2-40B4-BE49-F238E27FC236}">
              <a16:creationId xmlns:a16="http://schemas.microsoft.com/office/drawing/2014/main" id="{1B30E97E-A724-46EE-9F18-97A5F426F32D}"/>
            </a:ext>
          </a:extLst>
        </xdr:cNvPr>
        <xdr:cNvSpPr/>
      </xdr:nvSpPr>
      <xdr:spPr>
        <a:xfrm>
          <a:off x="9483993" y="104572392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333</xdr:row>
      <xdr:rowOff>38100</xdr:rowOff>
    </xdr:from>
    <xdr:to>
      <xdr:col>17</xdr:col>
      <xdr:colOff>523874</xdr:colOff>
      <xdr:row>333</xdr:row>
      <xdr:rowOff>485775</xdr:rowOff>
    </xdr:to>
    <xdr:sp macro="" textlink="">
      <xdr:nvSpPr>
        <xdr:cNvPr id="29" name="6-Point Star 109">
          <a:extLst>
            <a:ext uri="{FF2B5EF4-FFF2-40B4-BE49-F238E27FC236}">
              <a16:creationId xmlns:a16="http://schemas.microsoft.com/office/drawing/2014/main" id="{6D7E34AE-3D6F-4BB9-826D-56675B2EB536}"/>
            </a:ext>
          </a:extLst>
        </xdr:cNvPr>
        <xdr:cNvSpPr/>
      </xdr:nvSpPr>
      <xdr:spPr>
        <a:xfrm>
          <a:off x="10900151" y="104562867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15</a:t>
          </a:r>
        </a:p>
      </xdr:txBody>
    </xdr:sp>
    <xdr:clientData/>
  </xdr:twoCellAnchor>
  <xdr:twoCellAnchor>
    <xdr:from>
      <xdr:col>1</xdr:col>
      <xdr:colOff>104775</xdr:colOff>
      <xdr:row>357</xdr:row>
      <xdr:rowOff>57150</xdr:rowOff>
    </xdr:from>
    <xdr:to>
      <xdr:col>8</xdr:col>
      <xdr:colOff>295276</xdr:colOff>
      <xdr:row>357</xdr:row>
      <xdr:rowOff>514350</xdr:rowOff>
    </xdr:to>
    <xdr:sp macro="" textlink="">
      <xdr:nvSpPr>
        <xdr:cNvPr id="30" name="Flowchart: Alternate Process 29">
          <a:extLst>
            <a:ext uri="{FF2B5EF4-FFF2-40B4-BE49-F238E27FC236}">
              <a16:creationId xmlns:a16="http://schemas.microsoft.com/office/drawing/2014/main" id="{1115ED78-92C8-4D56-8F7A-AAD1EAC345A9}"/>
            </a:ext>
          </a:extLst>
        </xdr:cNvPr>
        <xdr:cNvSpPr/>
      </xdr:nvSpPr>
      <xdr:spPr>
        <a:xfrm>
          <a:off x="169351" y="112581303"/>
          <a:ext cx="4928785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357</xdr:row>
      <xdr:rowOff>57150</xdr:rowOff>
    </xdr:from>
    <xdr:to>
      <xdr:col>14</xdr:col>
      <xdr:colOff>276225</xdr:colOff>
      <xdr:row>357</xdr:row>
      <xdr:rowOff>514350</xdr:rowOff>
    </xdr:to>
    <xdr:sp macro="" textlink="">
      <xdr:nvSpPr>
        <xdr:cNvPr id="31" name="Flowchart: Alternate Process 30">
          <a:extLst>
            <a:ext uri="{FF2B5EF4-FFF2-40B4-BE49-F238E27FC236}">
              <a16:creationId xmlns:a16="http://schemas.microsoft.com/office/drawing/2014/main" id="{7C0FA03B-CC46-4E34-8070-D328586CBD35}"/>
            </a:ext>
          </a:extLst>
        </xdr:cNvPr>
        <xdr:cNvSpPr/>
      </xdr:nvSpPr>
      <xdr:spPr>
        <a:xfrm>
          <a:off x="5508679" y="112581303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357</xdr:row>
      <xdr:rowOff>47625</xdr:rowOff>
    </xdr:from>
    <xdr:to>
      <xdr:col>17</xdr:col>
      <xdr:colOff>581024</xdr:colOff>
      <xdr:row>357</xdr:row>
      <xdr:rowOff>504825</xdr:rowOff>
    </xdr:to>
    <xdr:sp macro="" textlink="">
      <xdr:nvSpPr>
        <xdr:cNvPr id="32" name="Flowchart: Alternate Process 31">
          <a:extLst>
            <a:ext uri="{FF2B5EF4-FFF2-40B4-BE49-F238E27FC236}">
              <a16:creationId xmlns:a16="http://schemas.microsoft.com/office/drawing/2014/main" id="{ED127208-F1E3-4D0C-B13E-80C72B366FE3}"/>
            </a:ext>
          </a:extLst>
        </xdr:cNvPr>
        <xdr:cNvSpPr/>
      </xdr:nvSpPr>
      <xdr:spPr>
        <a:xfrm>
          <a:off x="9483993" y="112571778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357</xdr:row>
      <xdr:rowOff>38100</xdr:rowOff>
    </xdr:from>
    <xdr:to>
      <xdr:col>17</xdr:col>
      <xdr:colOff>523874</xdr:colOff>
      <xdr:row>357</xdr:row>
      <xdr:rowOff>485775</xdr:rowOff>
    </xdr:to>
    <xdr:sp macro="" textlink="">
      <xdr:nvSpPr>
        <xdr:cNvPr id="33" name="6-Point Star 97">
          <a:extLst>
            <a:ext uri="{FF2B5EF4-FFF2-40B4-BE49-F238E27FC236}">
              <a16:creationId xmlns:a16="http://schemas.microsoft.com/office/drawing/2014/main" id="{16836A3B-932E-4A47-AA62-885AE13DD0A1}"/>
            </a:ext>
          </a:extLst>
        </xdr:cNvPr>
        <xdr:cNvSpPr/>
      </xdr:nvSpPr>
      <xdr:spPr>
        <a:xfrm>
          <a:off x="10900151" y="112562253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24</a:t>
          </a:r>
        </a:p>
      </xdr:txBody>
    </xdr:sp>
    <xdr:clientData/>
  </xdr:twoCellAnchor>
  <xdr:twoCellAnchor>
    <xdr:from>
      <xdr:col>1</xdr:col>
      <xdr:colOff>104775</xdr:colOff>
      <xdr:row>357</xdr:row>
      <xdr:rowOff>57150</xdr:rowOff>
    </xdr:from>
    <xdr:to>
      <xdr:col>8</xdr:col>
      <xdr:colOff>556970</xdr:colOff>
      <xdr:row>357</xdr:row>
      <xdr:rowOff>514350</xdr:rowOff>
    </xdr:to>
    <xdr:sp macro="" textlink="">
      <xdr:nvSpPr>
        <xdr:cNvPr id="34" name="Flowchart: Alternate Process 33">
          <a:extLst>
            <a:ext uri="{FF2B5EF4-FFF2-40B4-BE49-F238E27FC236}">
              <a16:creationId xmlns:a16="http://schemas.microsoft.com/office/drawing/2014/main" id="{F83881AD-580A-4CCF-8021-2F911123F768}"/>
            </a:ext>
          </a:extLst>
        </xdr:cNvPr>
        <xdr:cNvSpPr/>
      </xdr:nvSpPr>
      <xdr:spPr>
        <a:xfrm>
          <a:off x="169351" y="112581303"/>
          <a:ext cx="5190479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>
              <a:solidFill>
                <a:srgbClr val="7030A0"/>
              </a:solidFill>
              <a:latin typeface="LMG-Arun"/>
            </a:rPr>
            <a:t>     VFJS                  </a:t>
          </a:r>
          <a:r>
            <a:rPr lang="en-US" sz="200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  <a:latin typeface="+mj-lt"/>
            </a:rPr>
            <a:t> Cash Book )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76200</xdr:colOff>
      <xdr:row>357</xdr:row>
      <xdr:rowOff>57150</xdr:rowOff>
    </xdr:from>
    <xdr:to>
      <xdr:col>14</xdr:col>
      <xdr:colOff>276225</xdr:colOff>
      <xdr:row>357</xdr:row>
      <xdr:rowOff>514350</xdr:rowOff>
    </xdr:to>
    <xdr:sp macro="" textlink="">
      <xdr:nvSpPr>
        <xdr:cNvPr id="35" name="Flowchart: Alternate Process 34">
          <a:extLst>
            <a:ext uri="{FF2B5EF4-FFF2-40B4-BE49-F238E27FC236}">
              <a16:creationId xmlns:a16="http://schemas.microsoft.com/office/drawing/2014/main" id="{1C9B9EEB-C671-4C2F-A417-D3D873E92BB8}"/>
            </a:ext>
          </a:extLst>
        </xdr:cNvPr>
        <xdr:cNvSpPr/>
      </xdr:nvSpPr>
      <xdr:spPr>
        <a:xfrm>
          <a:off x="5508679" y="112581303"/>
          <a:ext cx="3832440" cy="457200"/>
        </a:xfrm>
        <a:prstGeom prst="flowChartAlternateProcess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aseline="0">
              <a:solidFill>
                <a:srgbClr val="7030A0"/>
              </a:solidFill>
              <a:latin typeface="+mj-lt"/>
            </a:rPr>
            <a:t>(</a:t>
          </a:r>
          <a:r>
            <a:rPr lang="en-US" sz="2000" baseline="0">
              <a:solidFill>
                <a:srgbClr val="7030A0"/>
              </a:solidFill>
            </a:rPr>
            <a:t>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S[X A]S </a:t>
          </a:r>
          <a:r>
            <a:rPr lang="en-US" sz="2000" baseline="0">
              <a:solidFill>
                <a:srgbClr val="7030A0"/>
              </a:solidFill>
              <a:latin typeface="+mj-lt"/>
            </a:rPr>
            <a:t>)                    </a:t>
          </a:r>
          <a:r>
            <a:rPr lang="en-US" sz="2000" baseline="0">
              <a:solidFill>
                <a:srgbClr val="7030A0"/>
              </a:solidFill>
              <a:latin typeface="LMG-Arun"/>
            </a:rPr>
            <a:t>HFJS</a:t>
          </a:r>
          <a:endParaRPr lang="en-US" sz="2000">
            <a:solidFill>
              <a:srgbClr val="7030A0"/>
            </a:solidFill>
          </a:endParaRPr>
        </a:p>
      </xdr:txBody>
    </xdr:sp>
    <xdr:clientData/>
  </xdr:twoCellAnchor>
  <xdr:twoCellAnchor>
    <xdr:from>
      <xdr:col>14</xdr:col>
      <xdr:colOff>419099</xdr:colOff>
      <xdr:row>357</xdr:row>
      <xdr:rowOff>47625</xdr:rowOff>
    </xdr:from>
    <xdr:to>
      <xdr:col>17</xdr:col>
      <xdr:colOff>581024</xdr:colOff>
      <xdr:row>357</xdr:row>
      <xdr:rowOff>504825</xdr:rowOff>
    </xdr:to>
    <xdr:sp macro="" textlink="">
      <xdr:nvSpPr>
        <xdr:cNvPr id="36" name="Flowchart: Alternate Process 35">
          <a:extLst>
            <a:ext uri="{FF2B5EF4-FFF2-40B4-BE49-F238E27FC236}">
              <a16:creationId xmlns:a16="http://schemas.microsoft.com/office/drawing/2014/main" id="{3A89890B-3563-4E04-BF16-B8979E255200}"/>
            </a:ext>
          </a:extLst>
        </xdr:cNvPr>
        <xdr:cNvSpPr/>
      </xdr:nvSpPr>
      <xdr:spPr>
        <a:xfrm>
          <a:off x="9483993" y="112571778"/>
          <a:ext cx="1978133" cy="457200"/>
        </a:xfrm>
        <a:prstGeom prst="flowChartAlternateProcess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600">
              <a:solidFill>
                <a:srgbClr val="7030A0"/>
              </a:solidFill>
              <a:latin typeface="LMG-Arun"/>
            </a:rPr>
            <a:t>5FGFPG\AZ</a:t>
          </a:r>
          <a:r>
            <a:rPr lang="en-US" sz="1600">
              <a:latin typeface="LMG-Arun"/>
            </a:rPr>
            <a:t>   </a:t>
          </a:r>
          <a:endParaRPr lang="en-US" sz="1600"/>
        </a:p>
      </xdr:txBody>
    </xdr:sp>
    <xdr:clientData/>
  </xdr:twoCellAnchor>
  <xdr:twoCellAnchor>
    <xdr:from>
      <xdr:col>17</xdr:col>
      <xdr:colOff>19049</xdr:colOff>
      <xdr:row>357</xdr:row>
      <xdr:rowOff>38100</xdr:rowOff>
    </xdr:from>
    <xdr:to>
      <xdr:col>17</xdr:col>
      <xdr:colOff>523874</xdr:colOff>
      <xdr:row>357</xdr:row>
      <xdr:rowOff>485775</xdr:rowOff>
    </xdr:to>
    <xdr:sp macro="" textlink="">
      <xdr:nvSpPr>
        <xdr:cNvPr id="111" name="6-Point Star 109">
          <a:extLst>
            <a:ext uri="{FF2B5EF4-FFF2-40B4-BE49-F238E27FC236}">
              <a16:creationId xmlns:a16="http://schemas.microsoft.com/office/drawing/2014/main" id="{4474EB4A-9C5F-474D-9D5C-9D6441EF106F}"/>
            </a:ext>
          </a:extLst>
        </xdr:cNvPr>
        <xdr:cNvSpPr/>
      </xdr:nvSpPr>
      <xdr:spPr>
        <a:xfrm>
          <a:off x="10900151" y="112562253"/>
          <a:ext cx="504825" cy="447675"/>
        </a:xfrm>
        <a:prstGeom prst="star6">
          <a:avLst/>
        </a:prstGeom>
        <a:ln>
          <a:solidFill>
            <a:srgbClr val="FF00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16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8863</xdr:colOff>
      <xdr:row>13</xdr:row>
      <xdr:rowOff>4214</xdr:rowOff>
    </xdr:from>
    <xdr:to>
      <xdr:col>9</xdr:col>
      <xdr:colOff>220051</xdr:colOff>
      <xdr:row>15</xdr:row>
      <xdr:rowOff>22957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762935" y="4794317"/>
          <a:ext cx="399743" cy="211188"/>
        </a:xfrm>
        <a:prstGeom prst="rect">
          <a:avLst/>
        </a:prstGeom>
      </xdr:spPr>
    </xdr:pic>
    <xdr:clientData/>
  </xdr:twoCellAnchor>
  <xdr:twoCellAnchor editAs="oneCell">
    <xdr:from>
      <xdr:col>15</xdr:col>
      <xdr:colOff>315575</xdr:colOff>
      <xdr:row>13</xdr:row>
      <xdr:rowOff>3905</xdr:rowOff>
    </xdr:from>
    <xdr:to>
      <xdr:col>15</xdr:col>
      <xdr:colOff>520289</xdr:colOff>
      <xdr:row>15</xdr:row>
      <xdr:rowOff>13430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1109744" y="4792636"/>
          <a:ext cx="390525" cy="204714"/>
        </a:xfrm>
        <a:prstGeom prst="rect">
          <a:avLst/>
        </a:prstGeom>
      </xdr:spPr>
    </xdr:pic>
    <xdr:clientData/>
  </xdr:twoCellAnchor>
  <xdr:twoCellAnchor editAs="oneCell">
    <xdr:from>
      <xdr:col>0</xdr:col>
      <xdr:colOff>144435</xdr:colOff>
      <xdr:row>13</xdr:row>
      <xdr:rowOff>3905</xdr:rowOff>
    </xdr:from>
    <xdr:to>
      <xdr:col>1</xdr:col>
      <xdr:colOff>208386</xdr:colOff>
      <xdr:row>15</xdr:row>
      <xdr:rowOff>19051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9775" y="4794390"/>
          <a:ext cx="396146" cy="206826"/>
        </a:xfrm>
        <a:prstGeom prst="rect">
          <a:avLst/>
        </a:prstGeom>
      </xdr:spPr>
    </xdr:pic>
    <xdr:clientData/>
  </xdr:twoCellAnchor>
  <xdr:twoCellAnchor editAs="oneCell">
    <xdr:from>
      <xdr:col>7</xdr:col>
      <xdr:colOff>310937</xdr:colOff>
      <xdr:row>13</xdr:row>
      <xdr:rowOff>9526</xdr:rowOff>
    </xdr:from>
    <xdr:to>
      <xdr:col>7</xdr:col>
      <xdr:colOff>514350</xdr:colOff>
      <xdr:row>15</xdr:row>
      <xdr:rowOff>13275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382819" y="4796019"/>
          <a:ext cx="384749" cy="203413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605599</xdr:rowOff>
    </xdr:from>
    <xdr:to>
      <xdr:col>9</xdr:col>
      <xdr:colOff>211188</xdr:colOff>
      <xdr:row>3</xdr:row>
      <xdr:rowOff>12750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550667" y="898648"/>
          <a:ext cx="797286" cy="211188"/>
        </a:xfrm>
        <a:prstGeom prst="rect">
          <a:avLst/>
        </a:prstGeom>
      </xdr:spPr>
    </xdr:pic>
    <xdr:clientData/>
  </xdr:twoCellAnchor>
  <xdr:twoCellAnchor editAs="oneCell">
    <xdr:from>
      <xdr:col>15</xdr:col>
      <xdr:colOff>312297</xdr:colOff>
      <xdr:row>1</xdr:row>
      <xdr:rowOff>3904</xdr:rowOff>
    </xdr:from>
    <xdr:to>
      <xdr:col>15</xdr:col>
      <xdr:colOff>517011</xdr:colOff>
      <xdr:row>3</xdr:row>
      <xdr:rowOff>13429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1106466" y="630210"/>
          <a:ext cx="390525" cy="204714"/>
        </a:xfrm>
        <a:prstGeom prst="rect">
          <a:avLst/>
        </a:prstGeom>
      </xdr:spPr>
    </xdr:pic>
    <xdr:clientData/>
  </xdr:twoCellAnchor>
  <xdr:twoCellAnchor editAs="oneCell">
    <xdr:from>
      <xdr:col>7</xdr:col>
      <xdr:colOff>320103</xdr:colOff>
      <xdr:row>1</xdr:row>
      <xdr:rowOff>7808</xdr:rowOff>
    </xdr:from>
    <xdr:to>
      <xdr:col>8</xdr:col>
      <xdr:colOff>1722</xdr:colOff>
      <xdr:row>3</xdr:row>
      <xdr:rowOff>19206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389202" y="634659"/>
          <a:ext cx="392398" cy="205495"/>
        </a:xfrm>
        <a:prstGeom prst="rect">
          <a:avLst/>
        </a:prstGeom>
      </xdr:spPr>
    </xdr:pic>
    <xdr:clientData/>
  </xdr:twoCellAnchor>
  <xdr:twoCellAnchor editAs="oneCell">
    <xdr:from>
      <xdr:col>1</xdr:col>
      <xdr:colOff>3785</xdr:colOff>
      <xdr:row>0</xdr:row>
      <xdr:rowOff>605832</xdr:rowOff>
    </xdr:from>
    <xdr:to>
      <xdr:col>1</xdr:col>
      <xdr:colOff>216328</xdr:colOff>
      <xdr:row>3</xdr:row>
      <xdr:rowOff>16911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7292" y="898868"/>
          <a:ext cx="798615" cy="212543"/>
        </a:xfrm>
        <a:prstGeom prst="rect">
          <a:avLst/>
        </a:prstGeom>
      </xdr:spPr>
    </xdr:pic>
    <xdr:clientData/>
  </xdr:twoCellAnchor>
  <xdr:twoCellAnchor editAs="oneCell">
    <xdr:from>
      <xdr:col>0</xdr:col>
      <xdr:colOff>144436</xdr:colOff>
      <xdr:row>26</xdr:row>
      <xdr:rowOff>0</xdr:rowOff>
    </xdr:from>
    <xdr:to>
      <xdr:col>1</xdr:col>
      <xdr:colOff>213378</xdr:colOff>
      <xdr:row>28</xdr:row>
      <xdr:rowOff>15274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4436" y="8277225"/>
          <a:ext cx="211817" cy="396274"/>
        </a:xfrm>
        <a:prstGeom prst="rect">
          <a:avLst/>
        </a:prstGeom>
      </xdr:spPr>
    </xdr:pic>
    <xdr:clientData/>
  </xdr:twoCellAnchor>
  <xdr:twoCellAnchor editAs="oneCell">
    <xdr:from>
      <xdr:col>0</xdr:col>
      <xdr:colOff>144436</xdr:colOff>
      <xdr:row>26</xdr:row>
      <xdr:rowOff>0</xdr:rowOff>
    </xdr:from>
    <xdr:to>
      <xdr:col>1</xdr:col>
      <xdr:colOff>211188</xdr:colOff>
      <xdr:row>28</xdr:row>
      <xdr:rowOff>16869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0315" y="12524246"/>
          <a:ext cx="397869" cy="209627"/>
        </a:xfrm>
        <a:prstGeom prst="rect">
          <a:avLst/>
        </a:prstGeom>
      </xdr:spPr>
    </xdr:pic>
    <xdr:clientData/>
  </xdr:twoCellAnchor>
  <xdr:twoCellAnchor editAs="oneCell">
    <xdr:from>
      <xdr:col>0</xdr:col>
      <xdr:colOff>144436</xdr:colOff>
      <xdr:row>41</xdr:row>
      <xdr:rowOff>0</xdr:rowOff>
    </xdr:from>
    <xdr:to>
      <xdr:col>1</xdr:col>
      <xdr:colOff>211188</xdr:colOff>
      <xdr:row>43</xdr:row>
      <xdr:rowOff>16868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0315" y="16086596"/>
          <a:ext cx="397869" cy="20962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</xdr:row>
      <xdr:rowOff>10242</xdr:rowOff>
    </xdr:from>
    <xdr:to>
      <xdr:col>9</xdr:col>
      <xdr:colOff>211188</xdr:colOff>
      <xdr:row>43</xdr:row>
      <xdr:rowOff>27110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545869" y="15880260"/>
          <a:ext cx="795256" cy="21118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26</xdr:row>
      <xdr:rowOff>0</xdr:rowOff>
    </xdr:from>
    <xdr:to>
      <xdr:col>9</xdr:col>
      <xdr:colOff>211188</xdr:colOff>
      <xdr:row>28</xdr:row>
      <xdr:rowOff>16869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755009" y="12523466"/>
          <a:ext cx="397869" cy="21118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26</xdr:row>
      <xdr:rowOff>0</xdr:rowOff>
    </xdr:from>
    <xdr:to>
      <xdr:col>9</xdr:col>
      <xdr:colOff>211188</xdr:colOff>
      <xdr:row>28</xdr:row>
      <xdr:rowOff>16869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755009" y="8370566"/>
          <a:ext cx="397869" cy="211188"/>
        </a:xfrm>
        <a:prstGeom prst="rect">
          <a:avLst/>
        </a:prstGeom>
      </xdr:spPr>
    </xdr:pic>
    <xdr:clientData/>
  </xdr:twoCellAnchor>
  <xdr:twoCellAnchor editAs="oneCell">
    <xdr:from>
      <xdr:col>7</xdr:col>
      <xdr:colOff>320105</xdr:colOff>
      <xdr:row>26</xdr:row>
      <xdr:rowOff>0</xdr:rowOff>
    </xdr:from>
    <xdr:to>
      <xdr:col>8</xdr:col>
      <xdr:colOff>1724</xdr:colOff>
      <xdr:row>28</xdr:row>
      <xdr:rowOff>9525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390140" y="8373646"/>
          <a:ext cx="390525" cy="205495"/>
        </a:xfrm>
        <a:prstGeom prst="rect">
          <a:avLst/>
        </a:prstGeom>
      </xdr:spPr>
    </xdr:pic>
    <xdr:clientData/>
  </xdr:twoCellAnchor>
  <xdr:twoCellAnchor editAs="oneCell">
    <xdr:from>
      <xdr:col>7</xdr:col>
      <xdr:colOff>321215</xdr:colOff>
      <xdr:row>26</xdr:row>
      <xdr:rowOff>0</xdr:rowOff>
    </xdr:from>
    <xdr:to>
      <xdr:col>8</xdr:col>
      <xdr:colOff>1081</xdr:colOff>
      <xdr:row>28</xdr:row>
      <xdr:rowOff>6305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185319" y="12259950"/>
          <a:ext cx="793583" cy="204714"/>
        </a:xfrm>
        <a:prstGeom prst="rect">
          <a:avLst/>
        </a:prstGeom>
      </xdr:spPr>
    </xdr:pic>
    <xdr:clientData/>
  </xdr:twoCellAnchor>
  <xdr:twoCellAnchor editAs="oneCell">
    <xdr:from>
      <xdr:col>7</xdr:col>
      <xdr:colOff>320103</xdr:colOff>
      <xdr:row>41</xdr:row>
      <xdr:rowOff>3903</xdr:rowOff>
    </xdr:from>
    <xdr:to>
      <xdr:col>8</xdr:col>
      <xdr:colOff>1722</xdr:colOff>
      <xdr:row>43</xdr:row>
      <xdr:rowOff>13427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390138" y="16088893"/>
          <a:ext cx="390525" cy="205495"/>
        </a:xfrm>
        <a:prstGeom prst="rect">
          <a:avLst/>
        </a:prstGeom>
      </xdr:spPr>
    </xdr:pic>
    <xdr:clientData/>
  </xdr:twoCellAnchor>
  <xdr:twoCellAnchor editAs="oneCell">
    <xdr:from>
      <xdr:col>15</xdr:col>
      <xdr:colOff>316201</xdr:colOff>
      <xdr:row>41</xdr:row>
      <xdr:rowOff>0</xdr:rowOff>
    </xdr:from>
    <xdr:to>
      <xdr:col>15</xdr:col>
      <xdr:colOff>520915</xdr:colOff>
      <xdr:row>43</xdr:row>
      <xdr:rowOff>9524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1110370" y="16085381"/>
          <a:ext cx="390525" cy="204714"/>
        </a:xfrm>
        <a:prstGeom prst="rect">
          <a:avLst/>
        </a:prstGeom>
      </xdr:spPr>
    </xdr:pic>
    <xdr:clientData/>
  </xdr:twoCellAnchor>
  <xdr:twoCellAnchor editAs="oneCell">
    <xdr:from>
      <xdr:col>15</xdr:col>
      <xdr:colOff>308394</xdr:colOff>
      <xdr:row>26</xdr:row>
      <xdr:rowOff>3905</xdr:rowOff>
    </xdr:from>
    <xdr:to>
      <xdr:col>15</xdr:col>
      <xdr:colOff>513108</xdr:colOff>
      <xdr:row>28</xdr:row>
      <xdr:rowOff>13430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1102563" y="12526936"/>
          <a:ext cx="390525" cy="204714"/>
        </a:xfrm>
        <a:prstGeom prst="rect">
          <a:avLst/>
        </a:prstGeom>
      </xdr:spPr>
    </xdr:pic>
    <xdr:clientData/>
  </xdr:twoCellAnchor>
  <xdr:twoCellAnchor editAs="oneCell">
    <xdr:from>
      <xdr:col>15</xdr:col>
      <xdr:colOff>316200</xdr:colOff>
      <xdr:row>26</xdr:row>
      <xdr:rowOff>0</xdr:rowOff>
    </xdr:from>
    <xdr:to>
      <xdr:col>15</xdr:col>
      <xdr:colOff>520914</xdr:colOff>
      <xdr:row>28</xdr:row>
      <xdr:rowOff>9525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1110369" y="8374035"/>
          <a:ext cx="390525" cy="204714"/>
        </a:xfrm>
        <a:prstGeom prst="rect">
          <a:avLst/>
        </a:prstGeom>
      </xdr:spPr>
    </xdr:pic>
    <xdr:clientData/>
  </xdr:twoCellAnchor>
  <xdr:oneCellAnchor>
    <xdr:from>
      <xdr:col>15</xdr:col>
      <xdr:colOff>312297</xdr:colOff>
      <xdr:row>41</xdr:row>
      <xdr:rowOff>3904</xdr:rowOff>
    </xdr:from>
    <xdr:ext cx="204714" cy="787912"/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0897633" y="910019"/>
          <a:ext cx="787912" cy="204714"/>
        </a:xfrm>
        <a:prstGeom prst="rect">
          <a:avLst/>
        </a:prstGeom>
      </xdr:spPr>
    </xdr:pic>
    <xdr:clientData/>
  </xdr:oneCellAnchor>
  <xdr:oneCellAnchor>
    <xdr:from>
      <xdr:col>7</xdr:col>
      <xdr:colOff>320103</xdr:colOff>
      <xdr:row>41</xdr:row>
      <xdr:rowOff>7808</xdr:rowOff>
    </xdr:from>
    <xdr:ext cx="203958" cy="789785"/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178883" y="915238"/>
          <a:ext cx="789785" cy="203958"/>
        </a:xfrm>
        <a:prstGeom prst="rect">
          <a:avLst/>
        </a:prstGeom>
      </xdr:spPr>
    </xdr:pic>
    <xdr:clientData/>
  </xdr:oneCellAnchor>
  <xdr:oneCellAnchor>
    <xdr:from>
      <xdr:col>7</xdr:col>
      <xdr:colOff>316201</xdr:colOff>
      <xdr:row>41</xdr:row>
      <xdr:rowOff>0</xdr:rowOff>
    </xdr:from>
    <xdr:ext cx="204714" cy="787912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0901537" y="15869583"/>
          <a:ext cx="787912" cy="204714"/>
        </a:xfrm>
        <a:prstGeom prst="rect">
          <a:avLst/>
        </a:prstGeom>
      </xdr:spPr>
    </xdr:pic>
    <xdr:clientData/>
  </xdr:oneCellAnchor>
  <xdr:oneCellAnchor>
    <xdr:from>
      <xdr:col>7</xdr:col>
      <xdr:colOff>312297</xdr:colOff>
      <xdr:row>41</xdr:row>
      <xdr:rowOff>3904</xdr:rowOff>
    </xdr:from>
    <xdr:ext cx="204714" cy="787912"/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0897633" y="15873487"/>
          <a:ext cx="787912" cy="204714"/>
        </a:xfrm>
        <a:prstGeom prst="rect">
          <a:avLst/>
        </a:prstGeom>
      </xdr:spPr>
    </xdr:pic>
    <xdr:clientData/>
  </xdr:oneCellAnchor>
  <xdr:oneCellAnchor>
    <xdr:from>
      <xdr:col>8</xdr:col>
      <xdr:colOff>144436</xdr:colOff>
      <xdr:row>41</xdr:row>
      <xdr:rowOff>0</xdr:rowOff>
    </xdr:from>
    <xdr:ext cx="209805" cy="800080"/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4436" y="8632870"/>
          <a:ext cx="209805" cy="800080"/>
        </a:xfrm>
        <a:prstGeom prst="rect">
          <a:avLst/>
        </a:prstGeom>
      </xdr:spPr>
    </xdr:pic>
    <xdr:clientData/>
  </xdr:oneCellAnchor>
  <xdr:oneCellAnchor>
    <xdr:from>
      <xdr:col>15</xdr:col>
      <xdr:colOff>320105</xdr:colOff>
      <xdr:row>41</xdr:row>
      <xdr:rowOff>3906</xdr:rowOff>
    </xdr:from>
    <xdr:ext cx="204823" cy="794331"/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606196" y="8931530"/>
          <a:ext cx="794331" cy="20482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51</xdr:row>
      <xdr:rowOff>605599</xdr:rowOff>
    </xdr:from>
    <xdr:ext cx="211188" cy="802362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895663" y="901186"/>
          <a:ext cx="802362" cy="211188"/>
        </a:xfrm>
        <a:prstGeom prst="rect">
          <a:avLst/>
        </a:prstGeom>
      </xdr:spPr>
    </xdr:pic>
    <xdr:clientData/>
  </xdr:oneCellAnchor>
  <xdr:oneCellAnchor>
    <xdr:from>
      <xdr:col>15</xdr:col>
      <xdr:colOff>312297</xdr:colOff>
      <xdr:row>52</xdr:row>
      <xdr:rowOff>3904</xdr:rowOff>
    </xdr:from>
    <xdr:ext cx="204714" cy="794331"/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11628597" y="909118"/>
          <a:ext cx="794331" cy="204714"/>
        </a:xfrm>
        <a:prstGeom prst="rect">
          <a:avLst/>
        </a:prstGeom>
      </xdr:spPr>
    </xdr:pic>
    <xdr:clientData/>
  </xdr:oneCellAnchor>
  <xdr:oneCellAnchor>
    <xdr:from>
      <xdr:col>7</xdr:col>
      <xdr:colOff>320103</xdr:colOff>
      <xdr:row>52</xdr:row>
      <xdr:rowOff>7808</xdr:rowOff>
    </xdr:from>
    <xdr:ext cx="204823" cy="796204"/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H="1">
          <a:off x="5605258" y="913903"/>
          <a:ext cx="796204" cy="204823"/>
        </a:xfrm>
        <a:prstGeom prst="rect">
          <a:avLst/>
        </a:prstGeom>
      </xdr:spPr>
    </xdr:pic>
    <xdr:clientData/>
  </xdr:oneCellAnchor>
  <xdr:oneCellAnchor>
    <xdr:from>
      <xdr:col>1</xdr:col>
      <xdr:colOff>3785</xdr:colOff>
      <xdr:row>51</xdr:row>
      <xdr:rowOff>605832</xdr:rowOff>
    </xdr:from>
    <xdr:ext cx="212543" cy="806290"/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52225" y="902705"/>
          <a:ext cx="806290" cy="21254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38099</xdr:colOff>
      <xdr:row>13</xdr:row>
      <xdr:rowOff>0</xdr:rowOff>
    </xdr:from>
    <xdr:ext cx="847726" cy="272639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4994328" y="4460606"/>
          <a:ext cx="847726" cy="27263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200">
            <a:latin typeface="Guj_Regular_Bold_SULEKH" pitchFamily="2" charset="0"/>
          </a:endParaRPr>
        </a:p>
      </xdr:txBody>
    </xdr:sp>
    <xdr:clientData/>
  </xdr:oneCellAnchor>
  <xdr:oneCellAnchor>
    <xdr:from>
      <xdr:col>7</xdr:col>
      <xdr:colOff>38099</xdr:colOff>
      <xdr:row>13</xdr:row>
      <xdr:rowOff>0</xdr:rowOff>
    </xdr:from>
    <xdr:ext cx="847726" cy="272639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20EF11A-1CB1-4775-9490-9C4BA8B9D8D7}"/>
            </a:ext>
          </a:extLst>
        </xdr:cNvPr>
        <xdr:cNvSpPr txBox="1"/>
      </xdr:nvSpPr>
      <xdr:spPr>
        <a:xfrm>
          <a:off x="4994328" y="6691716"/>
          <a:ext cx="847726" cy="27263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200">
            <a:latin typeface="Guj_Regular_Bold_SULEKH" pitchFamily="2" charset="0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342900</xdr:colOff>
      <xdr:row>2</xdr:row>
      <xdr:rowOff>133350</xdr:rowOff>
    </xdr:from>
    <xdr:to>
      <xdr:col>5</xdr:col>
      <xdr:colOff>885825</xdr:colOff>
      <xdr:row>5</xdr:row>
      <xdr:rowOff>28575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28850" y="704850"/>
          <a:ext cx="2352675" cy="6953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504825</xdr:colOff>
      <xdr:row>5</xdr:row>
      <xdr:rowOff>85723</xdr:rowOff>
    </xdr:from>
    <xdr:to>
      <xdr:col>5</xdr:col>
      <xdr:colOff>1476375</xdr:colOff>
      <xdr:row>7</xdr:row>
      <xdr:rowOff>171449</xdr:rowOff>
    </xdr:to>
    <xdr:sp macro="" textlink="">
      <xdr:nvSpPr>
        <xdr:cNvPr id="9" name="Down Ribbo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400175" y="1457323"/>
          <a:ext cx="3771900" cy="619126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latin typeface="LMG-Arun" pitchFamily="2" charset="0"/>
            </a:rPr>
            <a:t>   JFpRZ</a:t>
          </a:r>
          <a:endParaRPr lang="en-US" sz="3200"/>
        </a:p>
      </xdr:txBody>
    </xdr:sp>
    <xdr:clientData/>
  </xdr:twoCellAnchor>
  <xdr:twoCellAnchor>
    <xdr:from>
      <xdr:col>6</xdr:col>
      <xdr:colOff>142875</xdr:colOff>
      <xdr:row>8</xdr:row>
      <xdr:rowOff>9525</xdr:rowOff>
    </xdr:from>
    <xdr:to>
      <xdr:col>6</xdr:col>
      <xdr:colOff>533400</xdr:colOff>
      <xdr:row>8</xdr:row>
      <xdr:rowOff>419100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648325" y="2114550"/>
          <a:ext cx="390525" cy="342900"/>
        </a:xfrm>
        <a:prstGeom prst="rect">
          <a:avLst/>
        </a:prstGeom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latin typeface="LMG-Arun" pitchFamily="2" charset="0"/>
            </a:rPr>
            <a:t> &amp;</a:t>
          </a:r>
          <a:endParaRPr lang="en-US" sz="2000"/>
        </a:p>
      </xdr:txBody>
    </xdr:sp>
    <xdr:clientData/>
  </xdr:twoCellAnchor>
  <xdr:twoCellAnchor>
    <xdr:from>
      <xdr:col>11</xdr:col>
      <xdr:colOff>57149</xdr:colOff>
      <xdr:row>25</xdr:row>
      <xdr:rowOff>0</xdr:rowOff>
    </xdr:from>
    <xdr:to>
      <xdr:col>21</xdr:col>
      <xdr:colOff>447674</xdr:colOff>
      <xdr:row>25</xdr:row>
      <xdr:rowOff>114299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7591424" y="9582149"/>
          <a:ext cx="6486525" cy="11334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LMG-Arun" pitchFamily="2" charset="0"/>
            </a:rPr>
            <a:t>            p5ZMÉ lA, D]HAGM BR" D]bI lXÙS §FZF 5NZGM SZJFDF\ VFJ[, CTM T[ D]PlX §FZF R[SG\AZ vo (* YL ~P $#__ 5ZT ,LWFP</a:t>
          </a:r>
          <a:endParaRPr lang="en-US" sz="1400"/>
        </a:p>
      </xdr:txBody>
    </xdr:sp>
    <xdr:clientData/>
  </xdr:twoCellAnchor>
  <xdr:twoCellAnchor>
    <xdr:from>
      <xdr:col>1</xdr:col>
      <xdr:colOff>38100</xdr:colOff>
      <xdr:row>11</xdr:row>
      <xdr:rowOff>85725</xdr:rowOff>
    </xdr:from>
    <xdr:to>
      <xdr:col>4</xdr:col>
      <xdr:colOff>1743075</xdr:colOff>
      <xdr:row>12</xdr:row>
      <xdr:rowOff>314325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85725" y="2895600"/>
          <a:ext cx="35433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0000FF"/>
              </a:solidFill>
              <a:latin typeface="LMG-Arun" pitchFamily="2" charset="0"/>
            </a:rPr>
            <a:t>pWFZ AH[8 C[0 </a:t>
          </a:r>
          <a:r>
            <a:rPr lang="en-US" sz="1400">
              <a:latin typeface="LMG-Arun" pitchFamily="2" charset="0"/>
            </a:rPr>
            <a:t>vo</a:t>
          </a:r>
          <a:r>
            <a:rPr lang="en-US" sz="1400" baseline="0">
              <a:latin typeface="LMG-Arun" pitchFamily="2" charset="0"/>
            </a:rPr>
            <a:t>   AF/D[/M</a:t>
          </a:r>
          <a:endParaRPr lang="en-US" sz="1800">
            <a:latin typeface="LMG-Arun" pitchFamily="2" charset="0"/>
          </a:endParaRPr>
        </a:p>
      </xdr:txBody>
    </xdr:sp>
    <xdr:clientData/>
  </xdr:twoCellAnchor>
  <xdr:twoCellAnchor>
    <xdr:from>
      <xdr:col>1</xdr:col>
      <xdr:colOff>200024</xdr:colOff>
      <xdr:row>27</xdr:row>
      <xdr:rowOff>9525</xdr:rowOff>
    </xdr:from>
    <xdr:to>
      <xdr:col>7</xdr:col>
      <xdr:colOff>390524</xdr:colOff>
      <xdr:row>30</xdr:row>
      <xdr:rowOff>38101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47649" y="19145250"/>
          <a:ext cx="6486525" cy="600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LMG-Arun" pitchFamily="2" charset="0"/>
            </a:rPr>
            <a:t>            p5ZMÉ lA, D]HAGM BR" D]bI lXÙS §FZF 5NZGM SZJFDF\ VFJ[, CTM T[ D]PlX §FZF R[SG\AZ vo !_! YL ~P #Z( 5ZT ,LWFP</a:t>
          </a:r>
          <a:endParaRPr lang="en-US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2</xdr:row>
      <xdr:rowOff>66675</xdr:rowOff>
    </xdr:from>
    <xdr:to>
      <xdr:col>5</xdr:col>
      <xdr:colOff>904875</xdr:colOff>
      <xdr:row>4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47900" y="638175"/>
          <a:ext cx="2352675" cy="6762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504825</xdr:colOff>
      <xdr:row>5</xdr:row>
      <xdr:rowOff>85723</xdr:rowOff>
    </xdr:from>
    <xdr:to>
      <xdr:col>5</xdr:col>
      <xdr:colOff>1476375</xdr:colOff>
      <xdr:row>7</xdr:row>
      <xdr:rowOff>171449</xdr:rowOff>
    </xdr:to>
    <xdr:sp macro="" textlink="">
      <xdr:nvSpPr>
        <xdr:cNvPr id="3" name="Down Ribbo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00175" y="1457323"/>
          <a:ext cx="3771900" cy="619126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latin typeface="LMG-Arun" pitchFamily="2" charset="0"/>
            </a:rPr>
            <a:t>   JFpRZ</a:t>
          </a:r>
          <a:endParaRPr lang="en-US" sz="3200"/>
        </a:p>
      </xdr:txBody>
    </xdr:sp>
    <xdr:clientData/>
  </xdr:twoCellAnchor>
  <xdr:twoCellAnchor>
    <xdr:from>
      <xdr:col>6</xdr:col>
      <xdr:colOff>142875</xdr:colOff>
      <xdr:row>8</xdr:row>
      <xdr:rowOff>9525</xdr:rowOff>
    </xdr:from>
    <xdr:to>
      <xdr:col>6</xdr:col>
      <xdr:colOff>533400</xdr:colOff>
      <xdr:row>8</xdr:row>
      <xdr:rowOff>419100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8325" y="2114550"/>
          <a:ext cx="390525" cy="342900"/>
        </a:xfrm>
        <a:prstGeom prst="rect">
          <a:avLst/>
        </a:prstGeom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latin typeface="LMG-Arun" pitchFamily="2" charset="0"/>
            </a:rPr>
            <a:t> (</a:t>
          </a:r>
          <a:endParaRPr lang="en-US" sz="2000"/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4</xdr:col>
      <xdr:colOff>1790700</xdr:colOff>
      <xdr:row>12</xdr:row>
      <xdr:rowOff>361951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57150" y="2809875"/>
          <a:ext cx="3619500" cy="5619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0000FF"/>
              </a:solidFill>
              <a:latin typeface="LMG-Arun" pitchFamily="2" charset="0"/>
            </a:rPr>
            <a:t>pWFZ AH[8 C[0 </a:t>
          </a:r>
          <a:r>
            <a:rPr lang="en-US" sz="1400">
              <a:latin typeface="LMG-Arun" pitchFamily="2" charset="0"/>
            </a:rPr>
            <a:t>vo </a:t>
          </a:r>
          <a:r>
            <a:rPr lang="en-US" sz="1400" b="0" i="0" u="none" strike="noStrike">
              <a:solidFill>
                <a:schemeClr val="dk1"/>
              </a:solidFill>
              <a:effectLst/>
              <a:latin typeface="LMG-Arun" pitchFamily="2" charset="0"/>
              <a:ea typeface="+mn-ea"/>
              <a:cs typeface="+mn-cs"/>
            </a:rPr>
            <a:t> XF/F :JrKTF U|Fg8   JF,L;\D[,G  5|7F </a:t>
          </a:r>
          <a:endParaRPr lang="en-US" sz="1800">
            <a:latin typeface="LMG-Arun" pitchFamily="2" charset="0"/>
          </a:endParaRPr>
        </a:p>
      </xdr:txBody>
    </xdr:sp>
    <xdr:clientData/>
  </xdr:twoCellAnchor>
  <xdr:twoCellAnchor>
    <xdr:from>
      <xdr:col>1</xdr:col>
      <xdr:colOff>200024</xdr:colOff>
      <xdr:row>25</xdr:row>
      <xdr:rowOff>19050</xdr:rowOff>
    </xdr:from>
    <xdr:to>
      <xdr:col>7</xdr:col>
      <xdr:colOff>390524</xdr:colOff>
      <xdr:row>28</xdr:row>
      <xdr:rowOff>47626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47649" y="9725025"/>
          <a:ext cx="6486525" cy="600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LMG-Arun" pitchFamily="2" charset="0"/>
            </a:rPr>
            <a:t>            p5ZMÉ lA, D]HAGM BR" D]bI lXÙS §FZF 5NZGM SZJFDF\ VFJ[, CTM T[ D]PlX §FZF R[SG\AZ vo !!_ YL ~P #5__ 5ZT ,LWFP</a:t>
          </a:r>
          <a:endParaRPr lang="en-US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342900</xdr:colOff>
      <xdr:row>2</xdr:row>
      <xdr:rowOff>133350</xdr:rowOff>
    </xdr:from>
    <xdr:to>
      <xdr:col>5</xdr:col>
      <xdr:colOff>885825</xdr:colOff>
      <xdr:row>4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28850" y="704850"/>
          <a:ext cx="235267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504825</xdr:colOff>
      <xdr:row>5</xdr:row>
      <xdr:rowOff>85723</xdr:rowOff>
    </xdr:from>
    <xdr:to>
      <xdr:col>5</xdr:col>
      <xdr:colOff>1476375</xdr:colOff>
      <xdr:row>7</xdr:row>
      <xdr:rowOff>171449</xdr:rowOff>
    </xdr:to>
    <xdr:sp macro="" textlink="">
      <xdr:nvSpPr>
        <xdr:cNvPr id="3" name="Down Ribbo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00175" y="1457323"/>
          <a:ext cx="3771900" cy="619126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latin typeface="LMG-Arun" pitchFamily="2" charset="0"/>
            </a:rPr>
            <a:t>   JFpRZ</a:t>
          </a:r>
          <a:endParaRPr lang="en-US" sz="3200"/>
        </a:p>
      </xdr:txBody>
    </xdr:sp>
    <xdr:clientData/>
  </xdr:twoCellAnchor>
  <xdr:twoCellAnchor>
    <xdr:from>
      <xdr:col>6</xdr:col>
      <xdr:colOff>142875</xdr:colOff>
      <xdr:row>8</xdr:row>
      <xdr:rowOff>9525</xdr:rowOff>
    </xdr:from>
    <xdr:to>
      <xdr:col>6</xdr:col>
      <xdr:colOff>533400</xdr:colOff>
      <xdr:row>8</xdr:row>
      <xdr:rowOff>419100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5648325" y="2114550"/>
          <a:ext cx="390525" cy="342900"/>
        </a:xfrm>
        <a:prstGeom prst="rect">
          <a:avLst/>
        </a:prstGeom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latin typeface="LMG-Arun" pitchFamily="2" charset="0"/>
            </a:rPr>
            <a:t> 5</a:t>
          </a:r>
          <a:endParaRPr lang="en-US" sz="2000"/>
        </a:p>
      </xdr:txBody>
    </xdr:sp>
    <xdr:clientData/>
  </xdr:twoCellAnchor>
  <xdr:twoCellAnchor>
    <xdr:from>
      <xdr:col>1</xdr:col>
      <xdr:colOff>95249</xdr:colOff>
      <xdr:row>29</xdr:row>
      <xdr:rowOff>57150</xdr:rowOff>
    </xdr:from>
    <xdr:to>
      <xdr:col>7</xdr:col>
      <xdr:colOff>285749</xdr:colOff>
      <xdr:row>32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42874" y="9163050"/>
          <a:ext cx="6486525" cy="666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LMG-Arun" pitchFamily="2" charset="0"/>
            </a:rPr>
            <a:t>            p5ZMÉ lA, D]HAGM BR" D]bI lXÙS §FZF 5NZGM SZJFDF\ VFJ[, CTM T[ D]PlX §FZF R[SG\AZ vo &amp;5 YL ~P (&amp;$ 5ZT ,LWFP</a:t>
          </a:r>
          <a:endParaRPr lang="en-US" sz="1400"/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4</xdr:col>
      <xdr:colOff>1790700</xdr:colOff>
      <xdr:row>12</xdr:row>
      <xdr:rowOff>361951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57150" y="2809875"/>
          <a:ext cx="3619500" cy="5619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0000FF"/>
              </a:solidFill>
              <a:latin typeface="LMG-Arun" pitchFamily="2" charset="0"/>
            </a:rPr>
            <a:t>pWFZ AH[8 C[0 </a:t>
          </a:r>
          <a:r>
            <a:rPr lang="en-US" sz="1400">
              <a:latin typeface="LMG-Arun" pitchFamily="2" charset="0"/>
            </a:rPr>
            <a:t>vo </a:t>
          </a:r>
          <a:r>
            <a:rPr lang="en-US" sz="1400" b="0" i="0" u="none" strike="noStrike">
              <a:solidFill>
                <a:schemeClr val="dk1"/>
              </a:solidFill>
              <a:effectLst/>
              <a:latin typeface="LMG-Arun" pitchFamily="2" charset="0"/>
              <a:ea typeface="+mn-ea"/>
              <a:cs typeface="+mn-cs"/>
            </a:rPr>
            <a:t>AF/D[/M D8ZLI&lt;;4 JF,L;\D[,G ;ZEZF BR"4 %,ldA\U ;FDFG</a:t>
          </a:r>
          <a:endParaRPr lang="en-US" sz="1800">
            <a:latin typeface="LMG-Arun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S377"/>
  <sheetViews>
    <sheetView topLeftCell="A332" zoomScale="118" zoomScaleNormal="118" workbookViewId="0">
      <selection activeCell="K342" sqref="K342"/>
    </sheetView>
  </sheetViews>
  <sheetFormatPr defaultRowHeight="15"/>
  <cols>
    <col min="1" max="1" width="1" customWidth="1"/>
    <col min="2" max="2" width="10.42578125" customWidth="1"/>
    <col min="3" max="3" width="14.85546875" customWidth="1"/>
    <col min="6" max="6" width="8.140625" customWidth="1"/>
    <col min="7" max="7" width="9.85546875" customWidth="1"/>
    <col min="8" max="9" width="9.42578125" customWidth="1"/>
    <col min="10" max="10" width="10.140625" customWidth="1"/>
    <col min="11" max="11" width="21.28515625" customWidth="1"/>
    <col min="12" max="12" width="4.42578125" customWidth="1"/>
    <col min="13" max="13" width="8.28515625" customWidth="1"/>
    <col min="14" max="14" width="10.28515625" customWidth="1"/>
    <col min="15" max="15" width="8.140625" customWidth="1"/>
    <col min="16" max="16" width="9" customWidth="1"/>
    <col min="17" max="17" width="10.140625" customWidth="1"/>
    <col min="18" max="18" width="10.7109375" bestFit="1" customWidth="1"/>
  </cols>
  <sheetData>
    <row r="1" spans="1:18" ht="42.6" customHeight="1">
      <c r="A1" s="356">
        <f ca="1">A1:R22</f>
        <v>0</v>
      </c>
      <c r="B1" s="340" t="s">
        <v>139</v>
      </c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</row>
    <row r="2" spans="1:18" ht="43.5" customHeight="1">
      <c r="A2" s="356"/>
      <c r="B2" s="342"/>
      <c r="C2" s="343"/>
      <c r="D2" s="343"/>
      <c r="E2" s="343"/>
      <c r="F2" s="343"/>
      <c r="G2" s="343"/>
      <c r="H2" s="343"/>
      <c r="I2" s="344"/>
      <c r="J2" s="345"/>
      <c r="K2" s="345"/>
      <c r="L2" s="345"/>
      <c r="M2" s="345"/>
      <c r="N2" s="345"/>
      <c r="O2" s="345"/>
      <c r="P2" s="345"/>
      <c r="Q2" s="345"/>
      <c r="R2" s="346"/>
    </row>
    <row r="3" spans="1:18" ht="66" customHeight="1">
      <c r="A3" s="356"/>
      <c r="B3" s="15" t="s">
        <v>9</v>
      </c>
      <c r="C3" s="15" t="s">
        <v>19</v>
      </c>
      <c r="D3" s="16" t="s">
        <v>20</v>
      </c>
      <c r="E3" s="16" t="s">
        <v>21</v>
      </c>
      <c r="F3" s="16" t="s">
        <v>22</v>
      </c>
      <c r="G3" s="15" t="s">
        <v>23</v>
      </c>
      <c r="H3" s="15" t="s">
        <v>24</v>
      </c>
      <c r="I3" s="17" t="s">
        <v>25</v>
      </c>
      <c r="J3" s="18" t="s">
        <v>9</v>
      </c>
      <c r="K3" s="15" t="s">
        <v>56</v>
      </c>
      <c r="L3" s="347" t="s">
        <v>26</v>
      </c>
      <c r="M3" s="348"/>
      <c r="N3" s="16" t="s">
        <v>27</v>
      </c>
      <c r="O3" s="16" t="s">
        <v>22</v>
      </c>
      <c r="P3" s="15" t="s">
        <v>23</v>
      </c>
      <c r="Q3" s="15" t="s">
        <v>24</v>
      </c>
      <c r="R3" s="15" t="s">
        <v>25</v>
      </c>
    </row>
    <row r="4" spans="1:18" ht="45" customHeight="1">
      <c r="A4" s="356"/>
      <c r="B4" s="19">
        <v>45661</v>
      </c>
      <c r="C4" s="13" t="s">
        <v>16</v>
      </c>
      <c r="D4" s="20"/>
      <c r="E4" s="20"/>
      <c r="F4" s="20"/>
      <c r="G4" s="175">
        <v>0</v>
      </c>
      <c r="H4" s="175">
        <v>12998</v>
      </c>
      <c r="I4" s="188">
        <f>G4+H4</f>
        <v>12998</v>
      </c>
      <c r="J4" s="21">
        <f>B4</f>
        <v>45661</v>
      </c>
      <c r="K4" s="22" t="s">
        <v>28</v>
      </c>
      <c r="L4" s="360"/>
      <c r="M4" s="352"/>
      <c r="N4" s="20"/>
      <c r="O4" s="20"/>
      <c r="P4" s="175">
        <v>0</v>
      </c>
      <c r="Q4" s="175">
        <v>0</v>
      </c>
      <c r="R4" s="175">
        <v>0</v>
      </c>
    </row>
    <row r="5" spans="1:18" ht="15.95" customHeight="1">
      <c r="A5" s="356"/>
      <c r="B5" s="23"/>
      <c r="C5" s="20"/>
      <c r="D5" s="20"/>
      <c r="E5" s="20"/>
      <c r="F5" s="20"/>
      <c r="G5" s="175"/>
      <c r="H5" s="175"/>
      <c r="I5" s="188"/>
      <c r="J5" s="24"/>
      <c r="K5" s="20"/>
      <c r="L5" s="276"/>
      <c r="M5" s="214"/>
      <c r="N5" s="20"/>
      <c r="O5" s="20"/>
      <c r="P5" s="177"/>
      <c r="Q5" s="177"/>
      <c r="R5" s="177"/>
    </row>
    <row r="6" spans="1:18" ht="15.95" customHeight="1">
      <c r="A6" s="356"/>
      <c r="B6" s="23"/>
      <c r="C6" s="28"/>
      <c r="D6" s="28"/>
      <c r="E6" s="28"/>
      <c r="F6" s="28"/>
      <c r="G6" s="182"/>
      <c r="H6" s="183"/>
      <c r="I6" s="189"/>
      <c r="J6" s="26"/>
      <c r="K6" s="27"/>
      <c r="L6" s="276"/>
      <c r="M6" s="26"/>
      <c r="N6" s="28"/>
      <c r="O6" s="28"/>
      <c r="P6" s="175"/>
      <c r="Q6" s="178"/>
      <c r="R6" s="177"/>
    </row>
    <row r="7" spans="1:18" ht="15.95" customHeight="1">
      <c r="A7" s="356"/>
      <c r="B7" s="23"/>
      <c r="C7" s="28"/>
      <c r="D7" s="28"/>
      <c r="E7" s="28"/>
      <c r="F7" s="28"/>
      <c r="G7" s="182"/>
      <c r="H7" s="183"/>
      <c r="I7" s="190"/>
      <c r="J7" s="26"/>
      <c r="K7" s="29"/>
      <c r="L7" s="276"/>
      <c r="M7" s="26"/>
      <c r="N7" s="28"/>
      <c r="O7" s="28"/>
      <c r="P7" s="175"/>
      <c r="Q7" s="178"/>
      <c r="R7" s="177"/>
    </row>
    <row r="8" spans="1:18" ht="15.95" customHeight="1">
      <c r="A8" s="356"/>
      <c r="B8" s="23"/>
      <c r="C8" s="28"/>
      <c r="D8" s="28"/>
      <c r="E8" s="28"/>
      <c r="F8" s="28"/>
      <c r="G8" s="182"/>
      <c r="H8" s="183"/>
      <c r="I8" s="190"/>
      <c r="J8" s="26"/>
      <c r="K8" s="29"/>
      <c r="L8" s="276"/>
      <c r="M8" s="26"/>
      <c r="N8" s="28"/>
      <c r="O8" s="28"/>
      <c r="P8" s="175"/>
      <c r="Q8" s="178"/>
      <c r="R8" s="177"/>
    </row>
    <row r="9" spans="1:18" ht="15.95" customHeight="1">
      <c r="A9" s="356"/>
      <c r="B9" s="23"/>
      <c r="C9" s="29"/>
      <c r="D9" s="28"/>
      <c r="E9" s="28"/>
      <c r="F9" s="28"/>
      <c r="G9" s="183"/>
      <c r="H9" s="183"/>
      <c r="I9" s="190"/>
      <c r="J9" s="26"/>
      <c r="K9" s="29"/>
      <c r="L9" s="276"/>
      <c r="M9" s="26"/>
      <c r="N9" s="28"/>
      <c r="O9" s="28"/>
      <c r="P9" s="175"/>
      <c r="Q9" s="178"/>
      <c r="R9" s="177"/>
    </row>
    <row r="10" spans="1:18" ht="20.100000000000001" customHeight="1">
      <c r="A10" s="356"/>
      <c r="B10" s="23"/>
      <c r="C10" s="20"/>
      <c r="D10" s="20"/>
      <c r="E10" s="20"/>
      <c r="F10" s="20"/>
      <c r="G10" s="175"/>
      <c r="H10" s="175"/>
      <c r="I10" s="188"/>
      <c r="J10" s="24"/>
      <c r="K10" s="30" t="s">
        <v>57</v>
      </c>
      <c r="L10" s="215"/>
      <c r="M10" s="216"/>
      <c r="N10" s="31"/>
      <c r="O10" s="31"/>
      <c r="P10" s="196">
        <f>SUM(P4:P9)</f>
        <v>0</v>
      </c>
      <c r="Q10" s="196">
        <f>P10</f>
        <v>0</v>
      </c>
      <c r="R10" s="196">
        <f>P10+Q10</f>
        <v>0</v>
      </c>
    </row>
    <row r="11" spans="1:18" ht="20.100000000000001" customHeight="1">
      <c r="A11" s="356"/>
      <c r="B11" s="23"/>
      <c r="C11" s="20"/>
      <c r="D11" s="20"/>
      <c r="E11" s="20"/>
      <c r="F11" s="20"/>
      <c r="G11" s="177">
        <f>SUM(G4:G10)</f>
        <v>0</v>
      </c>
      <c r="H11" s="177">
        <f>SUM(H4:H10)</f>
        <v>12998</v>
      </c>
      <c r="I11" s="191">
        <f>SUM(I4:I10)</f>
        <v>12998</v>
      </c>
      <c r="J11" s="24"/>
      <c r="K11" s="30" t="s">
        <v>29</v>
      </c>
      <c r="L11" s="215"/>
      <c r="M11" s="216"/>
      <c r="N11" s="31"/>
      <c r="O11" s="31"/>
      <c r="P11" s="198">
        <v>0</v>
      </c>
      <c r="Q11" s="198">
        <f>I4+I6-I9</f>
        <v>12998</v>
      </c>
      <c r="R11" s="198">
        <f>I11-R10</f>
        <v>12998</v>
      </c>
    </row>
    <row r="12" spans="1:18" ht="20.100000000000001" customHeight="1">
      <c r="A12" s="356"/>
      <c r="B12" s="32"/>
      <c r="C12" s="33"/>
      <c r="D12" s="33"/>
      <c r="E12" s="33"/>
      <c r="F12" s="33"/>
      <c r="G12" s="33"/>
      <c r="H12" s="33"/>
      <c r="I12" s="34"/>
      <c r="J12" s="35"/>
      <c r="K12" s="36" t="s">
        <v>30</v>
      </c>
      <c r="L12" s="217"/>
      <c r="M12" s="216"/>
      <c r="N12" s="31"/>
      <c r="O12" s="31"/>
      <c r="P12" s="199">
        <f>P10</f>
        <v>0</v>
      </c>
      <c r="Q12" s="199">
        <f>Q10+Q11</f>
        <v>12998</v>
      </c>
      <c r="R12" s="199">
        <f>R10+R11</f>
        <v>12998</v>
      </c>
    </row>
    <row r="13" spans="1:18" ht="63.6" customHeight="1">
      <c r="A13" s="356"/>
      <c r="B13" s="37"/>
      <c r="C13" s="13"/>
      <c r="D13" s="20"/>
      <c r="E13" s="20"/>
      <c r="F13" s="20"/>
      <c r="G13" s="20"/>
      <c r="H13" s="20"/>
      <c r="I13" s="38"/>
      <c r="J13" s="39"/>
      <c r="K13" s="40"/>
      <c r="L13" s="212"/>
      <c r="M13" s="213"/>
      <c r="N13" s="20"/>
      <c r="O13" s="20"/>
      <c r="P13" s="20"/>
      <c r="Q13" s="20"/>
      <c r="R13" s="20"/>
    </row>
    <row r="14" spans="1:18" ht="45" customHeight="1">
      <c r="A14" s="356"/>
      <c r="B14" s="37" t="s">
        <v>140</v>
      </c>
      <c r="C14" s="13" t="s">
        <v>16</v>
      </c>
      <c r="D14" s="20"/>
      <c r="E14" s="20"/>
      <c r="F14" s="20"/>
      <c r="G14" s="175">
        <v>0</v>
      </c>
      <c r="H14" s="175">
        <f>R11</f>
        <v>12998</v>
      </c>
      <c r="I14" s="188">
        <f>G14+H14</f>
        <v>12998</v>
      </c>
      <c r="J14" s="37" t="str">
        <f>B14</f>
        <v>02/04/2024 TO 30/04/2024</v>
      </c>
      <c r="K14" s="40" t="s">
        <v>28</v>
      </c>
      <c r="L14" s="212"/>
      <c r="M14" s="213"/>
      <c r="N14" s="20"/>
      <c r="O14" s="20"/>
      <c r="P14" s="175">
        <v>0</v>
      </c>
      <c r="Q14" s="175">
        <v>0</v>
      </c>
      <c r="R14" s="175">
        <v>0</v>
      </c>
    </row>
    <row r="15" spans="1:18" ht="15.95" customHeight="1">
      <c r="A15" s="356"/>
      <c r="B15" s="23"/>
      <c r="C15" s="20"/>
      <c r="D15" s="20"/>
      <c r="E15" s="20"/>
      <c r="F15" s="20"/>
      <c r="G15" s="175"/>
      <c r="H15" s="175"/>
      <c r="I15" s="188"/>
      <c r="J15" s="24"/>
      <c r="K15" s="41"/>
      <c r="L15" s="218"/>
      <c r="M15" s="213"/>
      <c r="N15" s="20"/>
      <c r="O15" s="20"/>
      <c r="P15" s="175"/>
      <c r="Q15" s="175"/>
      <c r="R15" s="177"/>
    </row>
    <row r="16" spans="1:18" ht="15.95" customHeight="1">
      <c r="A16" s="356"/>
      <c r="B16" s="19"/>
      <c r="C16" s="41"/>
      <c r="D16" s="20"/>
      <c r="E16" s="20"/>
      <c r="F16" s="20"/>
      <c r="G16" s="182"/>
      <c r="H16" s="183"/>
      <c r="I16" s="189"/>
      <c r="J16" s="24"/>
      <c r="K16" s="41"/>
      <c r="L16" s="218"/>
      <c r="M16" s="213"/>
      <c r="N16" s="20"/>
      <c r="O16" s="20"/>
      <c r="P16" s="175"/>
      <c r="Q16" s="178"/>
      <c r="R16" s="177"/>
    </row>
    <row r="17" spans="1:18" ht="15.95" customHeight="1">
      <c r="A17" s="356"/>
      <c r="B17" s="23"/>
      <c r="C17" s="20"/>
      <c r="D17" s="20"/>
      <c r="E17" s="20"/>
      <c r="F17" s="20"/>
      <c r="G17" s="182"/>
      <c r="H17" s="183"/>
      <c r="I17" s="190"/>
      <c r="J17" s="24"/>
      <c r="K17" s="41"/>
      <c r="L17" s="218"/>
      <c r="M17" s="213"/>
      <c r="N17" s="20"/>
      <c r="O17" s="20"/>
      <c r="P17" s="175"/>
      <c r="Q17" s="178"/>
      <c r="R17" s="177"/>
    </row>
    <row r="18" spans="1:18" ht="15.95" customHeight="1">
      <c r="A18" s="356"/>
      <c r="B18" s="23"/>
      <c r="C18" s="20"/>
      <c r="D18" s="20"/>
      <c r="E18" s="20"/>
      <c r="F18" s="20"/>
      <c r="G18" s="182"/>
      <c r="H18" s="183"/>
      <c r="I18" s="190"/>
      <c r="J18" s="24"/>
      <c r="K18" s="41"/>
      <c r="L18" s="218"/>
      <c r="M18" s="213"/>
      <c r="N18" s="20"/>
      <c r="O18" s="20"/>
      <c r="P18" s="175"/>
      <c r="Q18" s="178"/>
      <c r="R18" s="177"/>
    </row>
    <row r="19" spans="1:18" ht="15.95" customHeight="1">
      <c r="A19" s="356"/>
      <c r="B19" s="23"/>
      <c r="C19" s="41"/>
      <c r="D19" s="20"/>
      <c r="E19" s="20"/>
      <c r="F19" s="20"/>
      <c r="G19" s="183"/>
      <c r="H19" s="183"/>
      <c r="I19" s="190"/>
      <c r="J19" s="24"/>
      <c r="K19" s="41"/>
      <c r="L19" s="218"/>
      <c r="M19" s="213"/>
      <c r="N19" s="20"/>
      <c r="O19" s="20"/>
      <c r="P19" s="175"/>
      <c r="Q19" s="178"/>
      <c r="R19" s="177"/>
    </row>
    <row r="20" spans="1:18" ht="20.100000000000001" customHeight="1">
      <c r="A20" s="356"/>
      <c r="B20" s="23"/>
      <c r="C20" s="20"/>
      <c r="D20" s="20"/>
      <c r="E20" s="20"/>
      <c r="F20" s="20"/>
      <c r="G20" s="175"/>
      <c r="H20" s="175"/>
      <c r="I20" s="188"/>
      <c r="J20" s="24"/>
      <c r="K20" s="30" t="s">
        <v>57</v>
      </c>
      <c r="L20" s="215"/>
      <c r="M20" s="213"/>
      <c r="N20" s="20"/>
      <c r="O20" s="20"/>
      <c r="P20" s="196">
        <f>SUM(P14:P19)</f>
        <v>0</v>
      </c>
      <c r="Q20" s="196">
        <f>P20</f>
        <v>0</v>
      </c>
      <c r="R20" s="196">
        <f>P20+Q20</f>
        <v>0</v>
      </c>
    </row>
    <row r="21" spans="1:18" ht="20.100000000000001" customHeight="1">
      <c r="A21" s="356"/>
      <c r="B21" s="23"/>
      <c r="C21" s="20"/>
      <c r="D21" s="20"/>
      <c r="E21" s="20"/>
      <c r="F21" s="20"/>
      <c r="G21" s="177">
        <f>SUM(G14:G20)</f>
        <v>0</v>
      </c>
      <c r="H21" s="177">
        <f>SUM(H14:H20)</f>
        <v>12998</v>
      </c>
      <c r="I21" s="191">
        <f>SUM(I14:I20)</f>
        <v>12998</v>
      </c>
      <c r="J21" s="24"/>
      <c r="K21" s="30" t="s">
        <v>29</v>
      </c>
      <c r="L21" s="215"/>
      <c r="M21" s="213"/>
      <c r="N21" s="20"/>
      <c r="O21" s="20"/>
      <c r="P21" s="198">
        <v>0</v>
      </c>
      <c r="Q21" s="198">
        <f>I14+I16-I19</f>
        <v>12998</v>
      </c>
      <c r="R21" s="198">
        <f>I21-R20</f>
        <v>12998</v>
      </c>
    </row>
    <row r="22" spans="1:18" ht="20.100000000000001" customHeight="1">
      <c r="A22" s="356"/>
      <c r="B22" s="23"/>
      <c r="C22" s="20"/>
      <c r="D22" s="20"/>
      <c r="E22" s="20"/>
      <c r="F22" s="20"/>
      <c r="G22" s="20"/>
      <c r="H22" s="20"/>
      <c r="I22" s="38"/>
      <c r="J22" s="24"/>
      <c r="K22" s="30" t="s">
        <v>30</v>
      </c>
      <c r="L22" s="215"/>
      <c r="M22" s="213"/>
      <c r="N22" s="20"/>
      <c r="O22" s="20"/>
      <c r="P22" s="199">
        <f>P20</f>
        <v>0</v>
      </c>
      <c r="Q22" s="199">
        <f>Q20+Q21</f>
        <v>12998</v>
      </c>
      <c r="R22" s="199">
        <f>R20+R21</f>
        <v>12998</v>
      </c>
    </row>
    <row r="23" spans="1:18" ht="46.5" customHeight="1">
      <c r="A23" s="356"/>
      <c r="B23" s="336"/>
      <c r="C23" s="336"/>
      <c r="D23" s="336"/>
      <c r="E23" s="336"/>
      <c r="F23" s="336"/>
      <c r="G23" s="336"/>
      <c r="H23" s="336"/>
      <c r="I23" s="336"/>
      <c r="J23" s="336"/>
      <c r="K23" s="336"/>
      <c r="L23" s="336"/>
      <c r="M23" s="336"/>
      <c r="N23" s="336"/>
      <c r="O23" s="336"/>
      <c r="P23" s="336"/>
      <c r="Q23" s="336"/>
      <c r="R23" s="336"/>
    </row>
    <row r="24" spans="1:18" ht="42.6" customHeight="1">
      <c r="A24" s="6">
        <f ca="1">A24:R45</f>
        <v>0</v>
      </c>
      <c r="B24" s="340" t="s">
        <v>139</v>
      </c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1"/>
      <c r="R24" s="341"/>
    </row>
    <row r="25" spans="1:18" ht="43.5" customHeight="1">
      <c r="A25" s="6"/>
      <c r="B25" s="342"/>
      <c r="C25" s="343"/>
      <c r="D25" s="343"/>
      <c r="E25" s="343"/>
      <c r="F25" s="343"/>
      <c r="G25" s="343"/>
      <c r="H25" s="343"/>
      <c r="I25" s="344"/>
      <c r="J25" s="345"/>
      <c r="K25" s="345"/>
      <c r="L25" s="345"/>
      <c r="M25" s="345"/>
      <c r="N25" s="345"/>
      <c r="O25" s="345"/>
      <c r="P25" s="345"/>
      <c r="Q25" s="345"/>
      <c r="R25" s="346"/>
    </row>
    <row r="26" spans="1:18" ht="66" customHeight="1">
      <c r="A26" s="6"/>
      <c r="B26" s="15" t="s">
        <v>9</v>
      </c>
      <c r="C26" s="15" t="s">
        <v>19</v>
      </c>
      <c r="D26" s="16" t="s">
        <v>20</v>
      </c>
      <c r="E26" s="16" t="s">
        <v>21</v>
      </c>
      <c r="F26" s="16" t="s">
        <v>22</v>
      </c>
      <c r="G26" s="15" t="s">
        <v>23</v>
      </c>
      <c r="H26" s="15" t="s">
        <v>24</v>
      </c>
      <c r="I26" s="48" t="s">
        <v>25</v>
      </c>
      <c r="J26" s="50" t="s">
        <v>9</v>
      </c>
      <c r="K26" s="15" t="s">
        <v>56</v>
      </c>
      <c r="L26" s="347" t="s">
        <v>26</v>
      </c>
      <c r="M26" s="348"/>
      <c r="N26" s="16" t="s">
        <v>27</v>
      </c>
      <c r="O26" s="16" t="s">
        <v>22</v>
      </c>
      <c r="P26" s="15" t="s">
        <v>23</v>
      </c>
      <c r="Q26" s="15" t="s">
        <v>24</v>
      </c>
      <c r="R26" s="15" t="s">
        <v>25</v>
      </c>
    </row>
    <row r="27" spans="1:18" ht="45" customHeight="1">
      <c r="A27" s="6"/>
      <c r="B27" s="37">
        <v>45752</v>
      </c>
      <c r="C27" s="13" t="s">
        <v>16</v>
      </c>
      <c r="D27" s="20"/>
      <c r="E27" s="20"/>
      <c r="F27" s="20"/>
      <c r="G27" s="175">
        <v>0</v>
      </c>
      <c r="H27" s="175">
        <f>Q21</f>
        <v>12998</v>
      </c>
      <c r="I27" s="176">
        <f>G27+H27</f>
        <v>12998</v>
      </c>
      <c r="J27" s="51">
        <f>B27</f>
        <v>45752</v>
      </c>
      <c r="K27" s="40" t="s">
        <v>28</v>
      </c>
      <c r="L27" s="351"/>
      <c r="M27" s="352"/>
      <c r="N27" s="20"/>
      <c r="O27" s="20"/>
      <c r="P27" s="175">
        <v>0</v>
      </c>
      <c r="Q27" s="175">
        <v>0</v>
      </c>
      <c r="R27" s="175">
        <f>Q27</f>
        <v>0</v>
      </c>
    </row>
    <row r="28" spans="1:18" ht="15.95" customHeight="1">
      <c r="A28" s="6"/>
      <c r="B28" s="23"/>
      <c r="C28" s="20"/>
      <c r="D28" s="20"/>
      <c r="E28" s="20"/>
      <c r="F28" s="20"/>
      <c r="G28" s="175"/>
      <c r="H28" s="175"/>
      <c r="I28" s="176"/>
      <c r="J28" s="52"/>
      <c r="K28" s="20"/>
      <c r="L28" s="49"/>
      <c r="M28" s="213"/>
      <c r="N28" s="20"/>
      <c r="O28" s="20"/>
      <c r="P28" s="175"/>
      <c r="Q28" s="175"/>
      <c r="R28" s="177"/>
    </row>
    <row r="29" spans="1:18" ht="15.95" customHeight="1">
      <c r="A29" s="6"/>
      <c r="B29" s="23"/>
      <c r="C29" s="42" t="s">
        <v>58</v>
      </c>
      <c r="D29" s="25"/>
      <c r="E29" s="25"/>
      <c r="F29" s="25"/>
      <c r="G29" s="179"/>
      <c r="H29" s="180">
        <v>45</v>
      </c>
      <c r="I29" s="181">
        <f>H29</f>
        <v>45</v>
      </c>
      <c r="J29" s="53"/>
      <c r="K29" s="27"/>
      <c r="L29" s="219"/>
      <c r="M29" s="26"/>
      <c r="N29" s="28"/>
      <c r="O29" s="28"/>
      <c r="P29" s="175"/>
      <c r="Q29" s="178"/>
      <c r="R29" s="177"/>
    </row>
    <row r="30" spans="1:18" ht="15.95" customHeight="1">
      <c r="A30" s="6"/>
      <c r="B30" s="23"/>
      <c r="C30" s="29"/>
      <c r="D30" s="28"/>
      <c r="E30" s="28"/>
      <c r="F30" s="28"/>
      <c r="G30" s="182"/>
      <c r="H30" s="183"/>
      <c r="I30" s="187"/>
      <c r="J30" s="53"/>
      <c r="K30" s="27"/>
      <c r="L30" s="219"/>
      <c r="M30" s="26"/>
      <c r="N30" s="28"/>
      <c r="O30" s="28"/>
      <c r="P30" s="175"/>
      <c r="Q30" s="178"/>
      <c r="R30" s="177"/>
    </row>
    <row r="31" spans="1:18" ht="15.95" customHeight="1">
      <c r="A31" s="6"/>
      <c r="B31" s="23"/>
      <c r="C31" s="28"/>
      <c r="D31" s="28"/>
      <c r="E31" s="28"/>
      <c r="F31" s="28"/>
      <c r="G31" s="182"/>
      <c r="H31" s="183"/>
      <c r="I31" s="184"/>
      <c r="J31" s="53"/>
      <c r="K31" s="29"/>
      <c r="L31" s="220"/>
      <c r="M31" s="26"/>
      <c r="N31" s="28"/>
      <c r="O31" s="28"/>
      <c r="P31" s="175"/>
      <c r="Q31" s="178"/>
      <c r="R31" s="177"/>
    </row>
    <row r="32" spans="1:18" ht="15.95" customHeight="1">
      <c r="A32" s="6"/>
      <c r="B32" s="23"/>
      <c r="C32" s="29"/>
      <c r="D32" s="28"/>
      <c r="E32" s="28"/>
      <c r="F32" s="28"/>
      <c r="G32" s="183"/>
      <c r="H32" s="183"/>
      <c r="I32" s="184"/>
      <c r="J32" s="53"/>
      <c r="K32" s="29"/>
      <c r="L32" s="220"/>
      <c r="M32" s="26"/>
      <c r="N32" s="28"/>
      <c r="O32" s="28"/>
      <c r="P32" s="175"/>
      <c r="Q32" s="178"/>
      <c r="R32" s="177"/>
    </row>
    <row r="33" spans="1:18" ht="20.100000000000001" customHeight="1">
      <c r="A33" s="6"/>
      <c r="B33" s="23"/>
      <c r="C33" s="20"/>
      <c r="D33" s="20"/>
      <c r="E33" s="20"/>
      <c r="F33" s="20"/>
      <c r="G33" s="175"/>
      <c r="H33" s="175"/>
      <c r="I33" s="176"/>
      <c r="J33" s="52"/>
      <c r="K33" s="30" t="s">
        <v>57</v>
      </c>
      <c r="L33" s="215"/>
      <c r="M33" s="216"/>
      <c r="N33" s="31"/>
      <c r="O33" s="31"/>
      <c r="P33" s="196">
        <f>SUM(P27:P32)</f>
        <v>0</v>
      </c>
      <c r="Q33" s="196">
        <f>P33</f>
        <v>0</v>
      </c>
      <c r="R33" s="196">
        <f>P33+Q33</f>
        <v>0</v>
      </c>
    </row>
    <row r="34" spans="1:18" ht="20.100000000000001" customHeight="1">
      <c r="A34" s="6"/>
      <c r="B34" s="23"/>
      <c r="C34" s="20"/>
      <c r="D34" s="20"/>
      <c r="E34" s="20"/>
      <c r="F34" s="20"/>
      <c r="G34" s="177">
        <f>SUM(G27:G33)</f>
        <v>0</v>
      </c>
      <c r="H34" s="177">
        <f>SUM(H27:H33)</f>
        <v>13043</v>
      </c>
      <c r="I34" s="186">
        <f>SUM(I27:I33)</f>
        <v>13043</v>
      </c>
      <c r="J34" s="52"/>
      <c r="K34" s="30" t="s">
        <v>29</v>
      </c>
      <c r="L34" s="215"/>
      <c r="M34" s="216"/>
      <c r="N34" s="31"/>
      <c r="O34" s="31"/>
      <c r="P34" s="197">
        <v>0</v>
      </c>
      <c r="Q34" s="197">
        <f>I27+I29-I32</f>
        <v>13043</v>
      </c>
      <c r="R34" s="197">
        <f>I34-R33</f>
        <v>13043</v>
      </c>
    </row>
    <row r="35" spans="1:18" ht="20.100000000000001" customHeight="1">
      <c r="A35" s="6"/>
      <c r="B35" s="23"/>
      <c r="C35" s="20"/>
      <c r="D35" s="20"/>
      <c r="E35" s="20"/>
      <c r="F35" s="20"/>
      <c r="G35" s="20"/>
      <c r="H35" s="20"/>
      <c r="I35" s="49"/>
      <c r="J35" s="52"/>
      <c r="K35" s="30" t="s">
        <v>30</v>
      </c>
      <c r="L35" s="215"/>
      <c r="M35" s="216"/>
      <c r="N35" s="31"/>
      <c r="O35" s="31"/>
      <c r="P35" s="199">
        <f>P33</f>
        <v>0</v>
      </c>
      <c r="Q35" s="199">
        <f>Q33+Q34</f>
        <v>13043</v>
      </c>
      <c r="R35" s="199">
        <f>R33+R34</f>
        <v>13043</v>
      </c>
    </row>
    <row r="36" spans="1:18" ht="63.6" customHeight="1">
      <c r="A36" s="6"/>
      <c r="B36" s="43"/>
      <c r="C36" s="43"/>
      <c r="D36" s="20"/>
      <c r="E36" s="20"/>
      <c r="F36" s="20"/>
      <c r="G36" s="20"/>
      <c r="H36" s="20"/>
      <c r="I36" s="49"/>
      <c r="J36" s="51"/>
      <c r="K36" s="20"/>
      <c r="L36" s="349"/>
      <c r="M36" s="350"/>
      <c r="N36" s="20"/>
      <c r="O36" s="20"/>
      <c r="P36" s="20"/>
      <c r="Q36" s="20"/>
      <c r="R36" s="20"/>
    </row>
    <row r="37" spans="1:18" ht="45" customHeight="1">
      <c r="A37" s="6"/>
      <c r="B37" s="37" t="s">
        <v>168</v>
      </c>
      <c r="C37" s="13" t="s">
        <v>16</v>
      </c>
      <c r="D37" s="20"/>
      <c r="E37" s="20"/>
      <c r="F37" s="20"/>
      <c r="G37" s="175">
        <v>0</v>
      </c>
      <c r="H37" s="175">
        <f>Q34</f>
        <v>13043</v>
      </c>
      <c r="I37" s="176">
        <f>G37+H37</f>
        <v>13043</v>
      </c>
      <c r="J37" s="51" t="str">
        <f>B37</f>
        <v>05/05/2025    TO     31/05/2025</v>
      </c>
      <c r="K37" s="40" t="s">
        <v>28</v>
      </c>
      <c r="L37" s="351"/>
      <c r="M37" s="352"/>
      <c r="N37" s="20"/>
      <c r="O37" s="20"/>
      <c r="P37" s="175">
        <v>0</v>
      </c>
      <c r="Q37" s="175">
        <v>0</v>
      </c>
      <c r="R37" s="175">
        <v>0</v>
      </c>
    </row>
    <row r="38" spans="1:18" ht="15.95" customHeight="1">
      <c r="A38" s="6"/>
      <c r="B38" s="23"/>
      <c r="C38" s="20"/>
      <c r="D38" s="20"/>
      <c r="E38" s="20"/>
      <c r="F38" s="20"/>
      <c r="G38" s="175"/>
      <c r="H38" s="175"/>
      <c r="I38" s="176"/>
      <c r="J38" s="52"/>
      <c r="K38" s="20"/>
      <c r="L38" s="49"/>
      <c r="M38" s="213"/>
      <c r="N38" s="20"/>
      <c r="O38" s="20"/>
      <c r="P38" s="175"/>
      <c r="Q38" s="175"/>
      <c r="R38" s="177"/>
    </row>
    <row r="39" spans="1:18" ht="15.95" customHeight="1">
      <c r="A39" s="6"/>
      <c r="B39" s="23"/>
      <c r="C39" s="29"/>
      <c r="D39" s="20"/>
      <c r="E39" s="20"/>
      <c r="F39" s="20"/>
      <c r="G39" s="182"/>
      <c r="H39" s="183"/>
      <c r="I39" s="187"/>
      <c r="J39" s="52"/>
      <c r="K39" s="20"/>
      <c r="L39" s="49"/>
      <c r="M39" s="213"/>
      <c r="N39" s="20"/>
      <c r="O39" s="20"/>
      <c r="P39" s="175"/>
      <c r="Q39" s="178"/>
      <c r="R39" s="177"/>
    </row>
    <row r="40" spans="1:18" ht="15.95" customHeight="1">
      <c r="A40" s="6"/>
      <c r="B40" s="23"/>
      <c r="C40" s="20"/>
      <c r="D40" s="20"/>
      <c r="E40" s="20"/>
      <c r="F40" s="20"/>
      <c r="G40" s="182"/>
      <c r="H40" s="183"/>
      <c r="I40" s="184"/>
      <c r="J40" s="52"/>
      <c r="K40" s="20"/>
      <c r="L40" s="49"/>
      <c r="M40" s="213"/>
      <c r="N40" s="20"/>
      <c r="O40" s="20"/>
      <c r="P40" s="175"/>
      <c r="Q40" s="178"/>
      <c r="R40" s="177"/>
    </row>
    <row r="41" spans="1:18" ht="15.95" customHeight="1">
      <c r="A41" s="6"/>
      <c r="B41" s="23"/>
      <c r="C41" s="20"/>
      <c r="D41" s="20"/>
      <c r="E41" s="20"/>
      <c r="F41" s="20"/>
      <c r="G41" s="182"/>
      <c r="H41" s="183"/>
      <c r="I41" s="184"/>
      <c r="J41" s="52"/>
      <c r="K41" s="20"/>
      <c r="L41" s="49"/>
      <c r="M41" s="213"/>
      <c r="N41" s="20"/>
      <c r="O41" s="20"/>
      <c r="P41" s="175"/>
      <c r="Q41" s="178"/>
      <c r="R41" s="177"/>
    </row>
    <row r="42" spans="1:18" ht="15.95" customHeight="1">
      <c r="A42" s="6"/>
      <c r="B42" s="23"/>
      <c r="C42" s="20"/>
      <c r="D42" s="20"/>
      <c r="E42" s="20"/>
      <c r="F42" s="20"/>
      <c r="G42" s="183"/>
      <c r="H42" s="183"/>
      <c r="I42" s="184"/>
      <c r="J42" s="52"/>
      <c r="K42" s="20"/>
      <c r="L42" s="49"/>
      <c r="M42" s="213"/>
      <c r="N42" s="20"/>
      <c r="O42" s="20"/>
      <c r="P42" s="175"/>
      <c r="Q42" s="178"/>
      <c r="R42" s="177"/>
    </row>
    <row r="43" spans="1:18" ht="20.100000000000001" customHeight="1">
      <c r="A43" s="6"/>
      <c r="B43" s="23"/>
      <c r="C43" s="20"/>
      <c r="D43" s="20"/>
      <c r="E43" s="20"/>
      <c r="F43" s="20"/>
      <c r="G43" s="175"/>
      <c r="H43" s="175"/>
      <c r="I43" s="176"/>
      <c r="J43" s="52"/>
      <c r="K43" s="30" t="s">
        <v>57</v>
      </c>
      <c r="L43" s="215"/>
      <c r="M43" s="213"/>
      <c r="N43" s="20"/>
      <c r="O43" s="20"/>
      <c r="P43" s="196">
        <f>SUM(P37:P42)</f>
        <v>0</v>
      </c>
      <c r="Q43" s="196">
        <f>P43</f>
        <v>0</v>
      </c>
      <c r="R43" s="196">
        <f>P43+Q43</f>
        <v>0</v>
      </c>
    </row>
    <row r="44" spans="1:18" ht="20.100000000000001" customHeight="1">
      <c r="A44" s="6"/>
      <c r="B44" s="23"/>
      <c r="C44" s="20"/>
      <c r="D44" s="20"/>
      <c r="E44" s="20"/>
      <c r="F44" s="20"/>
      <c r="G44" s="177">
        <f>SUM(G37:G43)</f>
        <v>0</v>
      </c>
      <c r="H44" s="177">
        <f>SUM(H37:H43)</f>
        <v>13043</v>
      </c>
      <c r="I44" s="186">
        <f>SUM(I37:I43)</f>
        <v>13043</v>
      </c>
      <c r="J44" s="52"/>
      <c r="K44" s="30" t="s">
        <v>29</v>
      </c>
      <c r="L44" s="215"/>
      <c r="M44" s="213"/>
      <c r="N44" s="20"/>
      <c r="O44" s="20"/>
      <c r="P44" s="198">
        <v>0</v>
      </c>
      <c r="Q44" s="198">
        <f>I37+I39-I42</f>
        <v>13043</v>
      </c>
      <c r="R44" s="198">
        <f>I44-R43</f>
        <v>13043</v>
      </c>
    </row>
    <row r="45" spans="1:18" ht="20.100000000000001" customHeight="1">
      <c r="A45" s="6"/>
      <c r="B45" s="23"/>
      <c r="C45" s="20"/>
      <c r="D45" s="20"/>
      <c r="E45" s="20"/>
      <c r="F45" s="20"/>
      <c r="G45" s="20"/>
      <c r="H45" s="20"/>
      <c r="I45" s="49"/>
      <c r="J45" s="52"/>
      <c r="K45" s="30" t="s">
        <v>30</v>
      </c>
      <c r="L45" s="215"/>
      <c r="M45" s="213"/>
      <c r="N45" s="20"/>
      <c r="O45" s="20"/>
      <c r="P45" s="199">
        <f>P43</f>
        <v>0</v>
      </c>
      <c r="Q45" s="199">
        <f>Q43+Q44</f>
        <v>13043</v>
      </c>
      <c r="R45" s="199">
        <f>R43+R44</f>
        <v>13043</v>
      </c>
    </row>
    <row r="46" spans="1:18" ht="48" customHeight="1">
      <c r="A46" s="6"/>
      <c r="B46" s="336"/>
      <c r="C46" s="336"/>
      <c r="D46" s="336"/>
      <c r="E46" s="336"/>
      <c r="F46" s="336"/>
      <c r="G46" s="336"/>
      <c r="H46" s="336"/>
      <c r="I46" s="336"/>
      <c r="J46" s="336"/>
      <c r="K46" s="336"/>
      <c r="L46" s="336"/>
      <c r="M46" s="336"/>
      <c r="N46" s="336"/>
      <c r="O46" s="336"/>
      <c r="P46" s="336"/>
      <c r="Q46" s="336"/>
      <c r="R46" s="336"/>
    </row>
    <row r="47" spans="1:18" ht="42.6" customHeight="1">
      <c r="A47" s="6">
        <f ca="1">A47:R75</f>
        <v>0</v>
      </c>
      <c r="B47" s="340" t="s">
        <v>139</v>
      </c>
      <c r="C47" s="341"/>
      <c r="D47" s="341"/>
      <c r="E47" s="341"/>
      <c r="F47" s="341"/>
      <c r="G47" s="341"/>
      <c r="H47" s="341"/>
      <c r="I47" s="341"/>
      <c r="J47" s="341"/>
      <c r="K47" s="341"/>
      <c r="L47" s="341"/>
      <c r="M47" s="341"/>
      <c r="N47" s="341"/>
      <c r="O47" s="341"/>
      <c r="P47" s="341"/>
      <c r="Q47" s="341"/>
      <c r="R47" s="341"/>
    </row>
    <row r="48" spans="1:18" ht="43.5" customHeight="1">
      <c r="A48" s="6"/>
      <c r="B48" s="357"/>
      <c r="C48" s="357"/>
      <c r="D48" s="357"/>
      <c r="E48" s="357"/>
      <c r="F48" s="357"/>
      <c r="G48" s="357"/>
      <c r="H48" s="357"/>
      <c r="I48" s="342"/>
      <c r="J48" s="358"/>
      <c r="K48" s="359"/>
      <c r="L48" s="359"/>
      <c r="M48" s="359"/>
      <c r="N48" s="359"/>
      <c r="O48" s="359"/>
      <c r="P48" s="359"/>
      <c r="Q48" s="359"/>
      <c r="R48" s="359"/>
    </row>
    <row r="49" spans="1:18" ht="66" customHeight="1">
      <c r="A49" s="6"/>
      <c r="B49" s="15" t="s">
        <v>9</v>
      </c>
      <c r="C49" s="15" t="s">
        <v>19</v>
      </c>
      <c r="D49" s="16" t="s">
        <v>20</v>
      </c>
      <c r="E49" s="16" t="s">
        <v>21</v>
      </c>
      <c r="F49" s="16" t="s">
        <v>22</v>
      </c>
      <c r="G49" s="15" t="s">
        <v>23</v>
      </c>
      <c r="H49" s="15" t="s">
        <v>24</v>
      </c>
      <c r="I49" s="48" t="s">
        <v>25</v>
      </c>
      <c r="J49" s="50" t="s">
        <v>9</v>
      </c>
      <c r="K49" s="15" t="s">
        <v>56</v>
      </c>
      <c r="L49" s="347" t="s">
        <v>26</v>
      </c>
      <c r="M49" s="348"/>
      <c r="N49" s="16" t="s">
        <v>27</v>
      </c>
      <c r="O49" s="16" t="s">
        <v>22</v>
      </c>
      <c r="P49" s="15" t="s">
        <v>23</v>
      </c>
      <c r="Q49" s="15" t="s">
        <v>24</v>
      </c>
      <c r="R49" s="15" t="s">
        <v>25</v>
      </c>
    </row>
    <row r="50" spans="1:18" ht="45" customHeight="1">
      <c r="A50" s="6"/>
      <c r="B50" s="37">
        <v>45906</v>
      </c>
      <c r="C50" s="13" t="s">
        <v>16</v>
      </c>
      <c r="D50" s="20"/>
      <c r="E50" s="20"/>
      <c r="F50" s="20"/>
      <c r="G50" s="175">
        <v>0</v>
      </c>
      <c r="H50" s="175">
        <f>Q44</f>
        <v>13043</v>
      </c>
      <c r="I50" s="176">
        <f>G50+H50</f>
        <v>13043</v>
      </c>
      <c r="J50" s="51">
        <f>B50</f>
        <v>45906</v>
      </c>
      <c r="K50" s="277" t="s">
        <v>141</v>
      </c>
      <c r="L50" s="334" t="s">
        <v>217</v>
      </c>
      <c r="M50" s="335"/>
      <c r="N50" s="192" t="s">
        <v>218</v>
      </c>
      <c r="O50" s="20"/>
      <c r="P50" s="175">
        <v>0</v>
      </c>
      <c r="Q50" s="175">
        <v>10500</v>
      </c>
      <c r="R50" s="175">
        <f>Q50</f>
        <v>10500</v>
      </c>
    </row>
    <row r="51" spans="1:18" ht="15" customHeight="1">
      <c r="A51" s="6"/>
      <c r="B51" s="23"/>
      <c r="C51" s="20"/>
      <c r="D51" s="20"/>
      <c r="E51" s="20"/>
      <c r="F51" s="20"/>
      <c r="G51" s="175"/>
      <c r="H51" s="175"/>
      <c r="I51" s="176"/>
      <c r="J51" s="52"/>
      <c r="K51" s="222" t="s">
        <v>79</v>
      </c>
      <c r="L51" s="223"/>
      <c r="M51" s="211"/>
      <c r="N51" s="192"/>
      <c r="O51" s="20"/>
      <c r="P51" s="177"/>
      <c r="Q51" s="177"/>
      <c r="R51" s="177"/>
    </row>
    <row r="52" spans="1:18" ht="15" customHeight="1">
      <c r="A52" s="6"/>
      <c r="B52" s="23"/>
      <c r="C52" s="20"/>
      <c r="D52" s="20"/>
      <c r="E52" s="20"/>
      <c r="F52" s="20"/>
      <c r="G52" s="175"/>
      <c r="H52" s="175"/>
      <c r="I52" s="176"/>
      <c r="J52" s="52"/>
      <c r="K52" s="118" t="s">
        <v>169</v>
      </c>
      <c r="L52" s="221">
        <v>45658</v>
      </c>
      <c r="M52" s="211" t="s">
        <v>176</v>
      </c>
      <c r="N52" s="192"/>
      <c r="O52" s="20"/>
      <c r="P52" s="177">
        <v>500</v>
      </c>
      <c r="Q52" s="177"/>
      <c r="R52" s="177">
        <f>P52</f>
        <v>500</v>
      </c>
    </row>
    <row r="53" spans="1:18" ht="15" customHeight="1">
      <c r="A53" s="6"/>
      <c r="B53" s="23"/>
      <c r="C53" s="20"/>
      <c r="D53" s="20"/>
      <c r="E53" s="20"/>
      <c r="F53" s="20"/>
      <c r="G53" s="175"/>
      <c r="H53" s="175"/>
      <c r="I53" s="176"/>
      <c r="J53" s="52"/>
      <c r="K53" s="118" t="s">
        <v>156</v>
      </c>
      <c r="L53" s="221">
        <v>45659</v>
      </c>
      <c r="M53" s="224">
        <v>45511</v>
      </c>
      <c r="N53" s="192"/>
      <c r="O53" s="20"/>
      <c r="P53" s="177">
        <v>500</v>
      </c>
      <c r="Q53" s="177"/>
      <c r="R53" s="177">
        <f t="shared" ref="R53:R72" si="0">P53</f>
        <v>500</v>
      </c>
    </row>
    <row r="54" spans="1:18" ht="15" customHeight="1">
      <c r="A54" s="6"/>
      <c r="B54" s="23"/>
      <c r="C54" s="20"/>
      <c r="D54" s="20"/>
      <c r="E54" s="20"/>
      <c r="F54" s="20"/>
      <c r="G54" s="175"/>
      <c r="H54" s="175"/>
      <c r="I54" s="176"/>
      <c r="J54" s="52"/>
      <c r="K54" s="100" t="s">
        <v>170</v>
      </c>
      <c r="L54" s="221">
        <v>45660</v>
      </c>
      <c r="M54" s="224">
        <v>45603</v>
      </c>
      <c r="N54" s="192"/>
      <c r="O54" s="20"/>
      <c r="P54" s="177">
        <v>500</v>
      </c>
      <c r="Q54" s="177"/>
      <c r="R54" s="177">
        <f t="shared" si="0"/>
        <v>500</v>
      </c>
    </row>
    <row r="55" spans="1:18" ht="15" customHeight="1">
      <c r="A55" s="6"/>
      <c r="B55" s="23"/>
      <c r="C55" s="20"/>
      <c r="D55" s="20"/>
      <c r="E55" s="20"/>
      <c r="F55" s="20"/>
      <c r="G55" s="175"/>
      <c r="H55" s="175"/>
      <c r="I55" s="176"/>
      <c r="J55" s="52"/>
      <c r="K55" s="100" t="s">
        <v>171</v>
      </c>
      <c r="L55" s="221">
        <v>45661</v>
      </c>
      <c r="M55" s="224">
        <v>45481</v>
      </c>
      <c r="N55" s="192"/>
      <c r="O55" s="20"/>
      <c r="P55" s="177">
        <v>500</v>
      </c>
      <c r="Q55" s="177"/>
      <c r="R55" s="177">
        <f t="shared" si="0"/>
        <v>500</v>
      </c>
    </row>
    <row r="56" spans="1:18" ht="15" customHeight="1">
      <c r="A56" s="6"/>
      <c r="B56" s="23"/>
      <c r="C56" s="20"/>
      <c r="D56" s="20"/>
      <c r="E56" s="20"/>
      <c r="F56" s="20"/>
      <c r="G56" s="175"/>
      <c r="H56" s="175"/>
      <c r="I56" s="176"/>
      <c r="J56" s="52"/>
      <c r="K56" s="118" t="s">
        <v>156</v>
      </c>
      <c r="L56" s="221">
        <v>45662</v>
      </c>
      <c r="M56" s="224">
        <v>45573</v>
      </c>
      <c r="N56" s="192"/>
      <c r="O56" s="20"/>
      <c r="P56" s="177">
        <v>500</v>
      </c>
      <c r="Q56" s="177"/>
      <c r="R56" s="177">
        <f t="shared" si="0"/>
        <v>500</v>
      </c>
    </row>
    <row r="57" spans="1:18" ht="15" customHeight="1">
      <c r="A57" s="6"/>
      <c r="B57" s="23"/>
      <c r="C57" s="20"/>
      <c r="D57" s="20"/>
      <c r="E57" s="20"/>
      <c r="F57" s="20"/>
      <c r="G57" s="175"/>
      <c r="H57" s="175"/>
      <c r="I57" s="176"/>
      <c r="J57" s="52"/>
      <c r="K57" s="100" t="s">
        <v>172</v>
      </c>
      <c r="L57" s="221">
        <v>45663</v>
      </c>
      <c r="M57" s="224">
        <v>45574</v>
      </c>
      <c r="N57" s="192"/>
      <c r="O57" s="20"/>
      <c r="P57" s="177">
        <v>500</v>
      </c>
      <c r="Q57" s="177"/>
      <c r="R57" s="177">
        <f t="shared" si="0"/>
        <v>500</v>
      </c>
    </row>
    <row r="58" spans="1:18" ht="15" customHeight="1">
      <c r="A58" s="6"/>
      <c r="B58" s="23"/>
      <c r="C58" s="20"/>
      <c r="D58" s="20"/>
      <c r="E58" s="20"/>
      <c r="F58" s="20"/>
      <c r="G58" s="175"/>
      <c r="H58" s="175"/>
      <c r="I58" s="176"/>
      <c r="J58" s="52"/>
      <c r="K58" s="118" t="s">
        <v>156</v>
      </c>
      <c r="L58" s="221">
        <v>45664</v>
      </c>
      <c r="M58" s="224">
        <v>45635</v>
      </c>
      <c r="N58" s="192"/>
      <c r="O58" s="20"/>
      <c r="P58" s="177">
        <v>500</v>
      </c>
      <c r="Q58" s="177"/>
      <c r="R58" s="177">
        <f t="shared" si="0"/>
        <v>500</v>
      </c>
    </row>
    <row r="59" spans="1:18" ht="15" customHeight="1">
      <c r="A59" s="6"/>
      <c r="B59" s="23"/>
      <c r="C59" s="20"/>
      <c r="D59" s="20"/>
      <c r="E59" s="20"/>
      <c r="F59" s="20"/>
      <c r="G59" s="175"/>
      <c r="H59" s="175"/>
      <c r="I59" s="176"/>
      <c r="J59" s="52"/>
      <c r="K59" s="100" t="s">
        <v>172</v>
      </c>
      <c r="L59" s="221">
        <v>45665</v>
      </c>
      <c r="M59" s="224">
        <v>45453</v>
      </c>
      <c r="N59" s="192"/>
      <c r="O59" s="20"/>
      <c r="P59" s="177">
        <v>500</v>
      </c>
      <c r="Q59" s="177"/>
      <c r="R59" s="177">
        <f t="shared" si="0"/>
        <v>500</v>
      </c>
    </row>
    <row r="60" spans="1:18" ht="15" customHeight="1">
      <c r="A60" s="6"/>
      <c r="B60" s="23"/>
      <c r="C60" s="20"/>
      <c r="D60" s="20"/>
      <c r="E60" s="20"/>
      <c r="F60" s="20"/>
      <c r="G60" s="175"/>
      <c r="H60" s="175"/>
      <c r="I60" s="176"/>
      <c r="J60" s="52"/>
      <c r="K60" s="118" t="s">
        <v>156</v>
      </c>
      <c r="L60" s="221">
        <v>45666</v>
      </c>
      <c r="M60" s="224">
        <v>45606</v>
      </c>
      <c r="N60" s="192"/>
      <c r="O60" s="20"/>
      <c r="P60" s="177">
        <v>500</v>
      </c>
      <c r="Q60" s="177"/>
      <c r="R60" s="177">
        <f t="shared" si="0"/>
        <v>500</v>
      </c>
    </row>
    <row r="61" spans="1:18" ht="15" customHeight="1">
      <c r="A61" s="6"/>
      <c r="B61" s="23"/>
      <c r="C61" s="20"/>
      <c r="D61" s="20"/>
      <c r="E61" s="20"/>
      <c r="F61" s="20"/>
      <c r="G61" s="175"/>
      <c r="H61" s="175"/>
      <c r="I61" s="176"/>
      <c r="J61" s="52"/>
      <c r="K61" s="100" t="s">
        <v>173</v>
      </c>
      <c r="L61" s="221">
        <v>45667</v>
      </c>
      <c r="M61" s="224">
        <v>45362</v>
      </c>
      <c r="N61" s="192"/>
      <c r="O61" s="20"/>
      <c r="P61" s="177">
        <v>500</v>
      </c>
      <c r="Q61" s="177"/>
      <c r="R61" s="177">
        <f t="shared" si="0"/>
        <v>500</v>
      </c>
    </row>
    <row r="62" spans="1:18" ht="15" customHeight="1">
      <c r="A62" s="6"/>
      <c r="B62" s="23"/>
      <c r="C62" s="20"/>
      <c r="D62" s="20"/>
      <c r="E62" s="20"/>
      <c r="F62" s="20"/>
      <c r="G62" s="175"/>
      <c r="H62" s="175"/>
      <c r="I62" s="176"/>
      <c r="J62" s="52"/>
      <c r="K62" s="118" t="s">
        <v>156</v>
      </c>
      <c r="L62" s="221">
        <v>45668</v>
      </c>
      <c r="M62" s="224">
        <v>45484</v>
      </c>
      <c r="N62" s="192"/>
      <c r="O62" s="20"/>
      <c r="P62" s="177">
        <v>500</v>
      </c>
      <c r="Q62" s="177"/>
      <c r="R62" s="177">
        <f t="shared" si="0"/>
        <v>500</v>
      </c>
    </row>
    <row r="63" spans="1:18" ht="15" customHeight="1">
      <c r="A63" s="6"/>
      <c r="B63" s="23"/>
      <c r="C63" s="20"/>
      <c r="D63" s="20"/>
      <c r="E63" s="20"/>
      <c r="F63" s="20"/>
      <c r="G63" s="175"/>
      <c r="H63" s="175"/>
      <c r="I63" s="176"/>
      <c r="J63" s="52"/>
      <c r="K63" s="100" t="s">
        <v>173</v>
      </c>
      <c r="L63" s="221">
        <v>45669</v>
      </c>
      <c r="M63" s="224">
        <v>45547</v>
      </c>
      <c r="N63" s="192"/>
      <c r="O63" s="20"/>
      <c r="P63" s="177">
        <v>500</v>
      </c>
      <c r="Q63" s="177"/>
      <c r="R63" s="177">
        <f t="shared" si="0"/>
        <v>500</v>
      </c>
    </row>
    <row r="64" spans="1:18" ht="15" customHeight="1">
      <c r="A64" s="6"/>
      <c r="B64" s="23"/>
      <c r="C64" s="20"/>
      <c r="D64" s="20"/>
      <c r="E64" s="20"/>
      <c r="F64" s="20"/>
      <c r="G64" s="175"/>
      <c r="H64" s="175"/>
      <c r="I64" s="176"/>
      <c r="J64" s="52"/>
      <c r="K64" s="118" t="s">
        <v>156</v>
      </c>
      <c r="L64" s="221">
        <v>45670</v>
      </c>
      <c r="M64" s="224">
        <v>45577</v>
      </c>
      <c r="N64" s="192"/>
      <c r="O64" s="20"/>
      <c r="P64" s="177">
        <v>500</v>
      </c>
      <c r="Q64" s="177"/>
      <c r="R64" s="177">
        <f t="shared" si="0"/>
        <v>500</v>
      </c>
    </row>
    <row r="65" spans="1:18" ht="15" customHeight="1">
      <c r="A65" s="6"/>
      <c r="B65" s="23"/>
      <c r="C65" s="20"/>
      <c r="D65" s="20"/>
      <c r="E65" s="20"/>
      <c r="F65" s="20"/>
      <c r="G65" s="175"/>
      <c r="H65" s="175"/>
      <c r="I65" s="176"/>
      <c r="J65" s="52"/>
      <c r="K65" s="100" t="s">
        <v>173</v>
      </c>
      <c r="L65" s="221">
        <v>45671</v>
      </c>
      <c r="M65" s="224">
        <v>45778</v>
      </c>
      <c r="N65" s="192"/>
      <c r="O65" s="20"/>
      <c r="P65" s="177">
        <v>500</v>
      </c>
      <c r="Q65" s="177"/>
      <c r="R65" s="177">
        <f t="shared" si="0"/>
        <v>500</v>
      </c>
    </row>
    <row r="66" spans="1:18" ht="15" customHeight="1">
      <c r="A66" s="6"/>
      <c r="B66" s="23"/>
      <c r="C66" s="20"/>
      <c r="D66" s="20"/>
      <c r="E66" s="20"/>
      <c r="F66" s="20"/>
      <c r="G66" s="175"/>
      <c r="H66" s="175"/>
      <c r="I66" s="176"/>
      <c r="J66" s="52"/>
      <c r="K66" s="118" t="s">
        <v>156</v>
      </c>
      <c r="L66" s="221">
        <v>45672</v>
      </c>
      <c r="M66" s="224">
        <v>45778</v>
      </c>
      <c r="N66" s="192"/>
      <c r="O66" s="20"/>
      <c r="P66" s="177">
        <v>500</v>
      </c>
      <c r="Q66" s="177"/>
      <c r="R66" s="177">
        <f t="shared" si="0"/>
        <v>500</v>
      </c>
    </row>
    <row r="67" spans="1:18" ht="15" customHeight="1">
      <c r="A67" s="6"/>
      <c r="B67" s="23"/>
      <c r="C67" s="20"/>
      <c r="D67" s="20"/>
      <c r="E67" s="20"/>
      <c r="F67" s="20"/>
      <c r="G67" s="175"/>
      <c r="H67" s="175"/>
      <c r="I67" s="176"/>
      <c r="J67" s="52"/>
      <c r="K67" s="119" t="s">
        <v>174</v>
      </c>
      <c r="L67" s="221">
        <v>45673</v>
      </c>
      <c r="M67" s="224" t="s">
        <v>177</v>
      </c>
      <c r="N67" s="192"/>
      <c r="O67" s="20"/>
      <c r="P67" s="177">
        <v>500</v>
      </c>
      <c r="Q67" s="177"/>
      <c r="R67" s="177">
        <f t="shared" si="0"/>
        <v>500</v>
      </c>
    </row>
    <row r="68" spans="1:18" ht="15" customHeight="1">
      <c r="A68" s="6"/>
      <c r="B68" s="23"/>
      <c r="C68" s="20"/>
      <c r="D68" s="20"/>
      <c r="E68" s="20"/>
      <c r="F68" s="20"/>
      <c r="G68" s="175"/>
      <c r="H68" s="175"/>
      <c r="I68" s="176"/>
      <c r="J68" s="52"/>
      <c r="K68" s="118" t="s">
        <v>157</v>
      </c>
      <c r="L68" s="221">
        <v>45674</v>
      </c>
      <c r="M68" s="224" t="s">
        <v>178</v>
      </c>
      <c r="N68" s="192"/>
      <c r="O68" s="20"/>
      <c r="P68" s="177">
        <v>500</v>
      </c>
      <c r="Q68" s="177"/>
      <c r="R68" s="177">
        <f t="shared" si="0"/>
        <v>500</v>
      </c>
    </row>
    <row r="69" spans="1:18" ht="15" customHeight="1">
      <c r="A69" s="6"/>
      <c r="B69" s="23"/>
      <c r="C69" s="20"/>
      <c r="D69" s="20"/>
      <c r="E69" s="20"/>
      <c r="F69" s="20"/>
      <c r="G69" s="175"/>
      <c r="H69" s="175"/>
      <c r="I69" s="176"/>
      <c r="J69" s="52"/>
      <c r="K69" s="100" t="s">
        <v>175</v>
      </c>
      <c r="L69" s="221">
        <v>45675</v>
      </c>
      <c r="M69" s="224">
        <v>45810</v>
      </c>
      <c r="N69" s="192"/>
      <c r="O69" s="20"/>
      <c r="P69" s="177">
        <v>500</v>
      </c>
      <c r="Q69" s="177"/>
      <c r="R69" s="177">
        <f t="shared" si="0"/>
        <v>500</v>
      </c>
    </row>
    <row r="70" spans="1:18" ht="15" customHeight="1">
      <c r="A70" s="6"/>
      <c r="B70" s="23"/>
      <c r="C70" s="28"/>
      <c r="D70" s="28"/>
      <c r="E70" s="28"/>
      <c r="F70" s="28"/>
      <c r="G70" s="182"/>
      <c r="H70" s="183"/>
      <c r="I70" s="187"/>
      <c r="J70" s="53"/>
      <c r="K70" s="118" t="s">
        <v>156</v>
      </c>
      <c r="L70" s="221">
        <v>45676</v>
      </c>
      <c r="M70" s="224">
        <v>45932</v>
      </c>
      <c r="N70" s="28"/>
      <c r="O70" s="28"/>
      <c r="P70" s="177">
        <v>500</v>
      </c>
      <c r="Q70" s="178"/>
      <c r="R70" s="177">
        <f t="shared" si="0"/>
        <v>500</v>
      </c>
    </row>
    <row r="71" spans="1:18" ht="15" customHeight="1">
      <c r="A71" s="6"/>
      <c r="B71" s="23"/>
      <c r="C71" s="28"/>
      <c r="D71" s="28"/>
      <c r="E71" s="28"/>
      <c r="F71" s="28"/>
      <c r="G71" s="182"/>
      <c r="H71" s="183"/>
      <c r="I71" s="184"/>
      <c r="J71" s="53"/>
      <c r="K71" s="100" t="s">
        <v>175</v>
      </c>
      <c r="L71" s="221">
        <v>45677</v>
      </c>
      <c r="M71" s="224">
        <v>45994</v>
      </c>
      <c r="N71" s="28"/>
      <c r="O71" s="28"/>
      <c r="P71" s="177">
        <v>500</v>
      </c>
      <c r="Q71" s="178"/>
      <c r="R71" s="177">
        <f t="shared" si="0"/>
        <v>500</v>
      </c>
    </row>
    <row r="72" spans="1:18" ht="15" customHeight="1">
      <c r="A72" s="6"/>
      <c r="B72" s="23"/>
      <c r="C72" s="195" t="s">
        <v>142</v>
      </c>
      <c r="D72" s="28"/>
      <c r="E72" s="28"/>
      <c r="F72" s="182"/>
      <c r="G72" s="185">
        <v>10500</v>
      </c>
      <c r="H72" s="193">
        <v>0</v>
      </c>
      <c r="I72" s="194">
        <f>G72</f>
        <v>10500</v>
      </c>
      <c r="J72" s="53"/>
      <c r="K72" s="118" t="s">
        <v>156</v>
      </c>
      <c r="L72" s="221">
        <v>45678</v>
      </c>
      <c r="M72" s="224" t="s">
        <v>179</v>
      </c>
      <c r="N72" s="28"/>
      <c r="O72" s="28"/>
      <c r="P72" s="177">
        <v>500</v>
      </c>
      <c r="Q72" s="178"/>
      <c r="R72" s="177">
        <f t="shared" si="0"/>
        <v>500</v>
      </c>
    </row>
    <row r="73" spans="1:18" ht="20.100000000000001" customHeight="1">
      <c r="A73" s="6"/>
      <c r="B73" s="23"/>
      <c r="C73" s="20"/>
      <c r="D73" s="20"/>
      <c r="E73" s="20"/>
      <c r="F73" s="20"/>
      <c r="G73" s="175"/>
      <c r="H73" s="175"/>
      <c r="I73" s="176"/>
      <c r="J73" s="52"/>
      <c r="K73" s="30" t="s">
        <v>57</v>
      </c>
      <c r="L73" s="223"/>
      <c r="M73" s="31"/>
      <c r="N73" s="31"/>
      <c r="O73" s="31"/>
      <c r="P73" s="196">
        <f>SUM(P52:P72)</f>
        <v>10500</v>
      </c>
      <c r="Q73" s="196">
        <v>10500</v>
      </c>
      <c r="R73" s="196">
        <f>P73+Q73</f>
        <v>21000</v>
      </c>
    </row>
    <row r="74" spans="1:18" ht="20.100000000000001" customHeight="1">
      <c r="A74" s="6"/>
      <c r="B74" s="23"/>
      <c r="C74" s="20"/>
      <c r="D74" s="20"/>
      <c r="E74" s="20"/>
      <c r="F74" s="20"/>
      <c r="G74" s="177">
        <f>SUM(G50:G73)</f>
        <v>10500</v>
      </c>
      <c r="H74" s="177">
        <f>SUM(H50:H73)</f>
        <v>13043</v>
      </c>
      <c r="I74" s="186">
        <f>SUM(I50:I73)</f>
        <v>23543</v>
      </c>
      <c r="J74" s="52"/>
      <c r="K74" s="30" t="s">
        <v>29</v>
      </c>
      <c r="L74" s="30"/>
      <c r="M74" s="31"/>
      <c r="N74" s="31"/>
      <c r="O74" s="31"/>
      <c r="P74" s="198">
        <v>0</v>
      </c>
      <c r="Q74" s="198">
        <f>H74-Q73</f>
        <v>2543</v>
      </c>
      <c r="R74" s="198">
        <f>I74-R73</f>
        <v>2543</v>
      </c>
    </row>
    <row r="75" spans="1:18" ht="20.100000000000001" customHeight="1">
      <c r="A75" s="6"/>
      <c r="B75" s="23"/>
      <c r="C75" s="20"/>
      <c r="D75" s="20"/>
      <c r="E75" s="20"/>
      <c r="F75" s="20"/>
      <c r="G75" s="20"/>
      <c r="H75" s="20"/>
      <c r="I75" s="49"/>
      <c r="J75" s="52"/>
      <c r="K75" s="30" t="s">
        <v>30</v>
      </c>
      <c r="L75" s="30"/>
      <c r="M75" s="31"/>
      <c r="N75" s="31"/>
      <c r="O75" s="31"/>
      <c r="P75" s="199">
        <f>P73</f>
        <v>10500</v>
      </c>
      <c r="Q75" s="199">
        <f>Q73+Q74</f>
        <v>13043</v>
      </c>
      <c r="R75" s="199">
        <f>R73+R74</f>
        <v>23543</v>
      </c>
    </row>
    <row r="76" spans="1:18" ht="45" customHeight="1">
      <c r="A76" s="6"/>
      <c r="B76" s="353"/>
      <c r="C76" s="354"/>
      <c r="D76" s="354"/>
      <c r="E76" s="354"/>
      <c r="F76" s="354"/>
      <c r="G76" s="354"/>
      <c r="H76" s="354"/>
      <c r="I76" s="354"/>
      <c r="J76" s="354"/>
      <c r="K76" s="354"/>
      <c r="L76" s="354"/>
      <c r="M76" s="354"/>
      <c r="N76" s="354"/>
      <c r="O76" s="354"/>
      <c r="P76" s="354"/>
      <c r="Q76" s="354"/>
      <c r="R76" s="355"/>
    </row>
    <row r="77" spans="1:18" ht="42.6" customHeight="1">
      <c r="A77" s="356">
        <f ca="1">A77:R98</f>
        <v>0</v>
      </c>
      <c r="B77" s="340" t="s">
        <v>139</v>
      </c>
      <c r="C77" s="341"/>
      <c r="D77" s="341"/>
      <c r="E77" s="341"/>
      <c r="F77" s="341"/>
      <c r="G77" s="341"/>
      <c r="H77" s="341"/>
      <c r="I77" s="341"/>
      <c r="J77" s="341"/>
      <c r="K77" s="341"/>
      <c r="L77" s="341"/>
      <c r="M77" s="341"/>
      <c r="N77" s="341"/>
      <c r="O77" s="341"/>
      <c r="P77" s="341"/>
      <c r="Q77" s="341"/>
      <c r="R77" s="341"/>
    </row>
    <row r="78" spans="1:18" ht="43.5" customHeight="1">
      <c r="A78" s="356"/>
      <c r="B78" s="342"/>
      <c r="C78" s="343"/>
      <c r="D78" s="343"/>
      <c r="E78" s="343"/>
      <c r="F78" s="343"/>
      <c r="G78" s="343"/>
      <c r="H78" s="343"/>
      <c r="I78" s="344"/>
      <c r="J78" s="345"/>
      <c r="K78" s="345"/>
      <c r="L78" s="345"/>
      <c r="M78" s="345"/>
      <c r="N78" s="345"/>
      <c r="O78" s="345"/>
      <c r="P78" s="345"/>
      <c r="Q78" s="345"/>
      <c r="R78" s="346"/>
    </row>
    <row r="79" spans="1:18" ht="66" customHeight="1">
      <c r="A79" s="356"/>
      <c r="B79" s="15" t="s">
        <v>9</v>
      </c>
      <c r="C79" s="15" t="s">
        <v>19</v>
      </c>
      <c r="D79" s="16" t="s">
        <v>20</v>
      </c>
      <c r="E79" s="16" t="s">
        <v>21</v>
      </c>
      <c r="F79" s="16" t="s">
        <v>22</v>
      </c>
      <c r="G79" s="15" t="s">
        <v>23</v>
      </c>
      <c r="H79" s="15" t="s">
        <v>24</v>
      </c>
      <c r="I79" s="17" t="s">
        <v>25</v>
      </c>
      <c r="J79" s="18" t="s">
        <v>9</v>
      </c>
      <c r="K79" s="15" t="s">
        <v>56</v>
      </c>
      <c r="L79" s="347" t="s">
        <v>26</v>
      </c>
      <c r="M79" s="348"/>
      <c r="N79" s="16" t="s">
        <v>27</v>
      </c>
      <c r="O79" s="16" t="s">
        <v>22</v>
      </c>
      <c r="P79" s="15" t="s">
        <v>23</v>
      </c>
      <c r="Q79" s="15" t="s">
        <v>24</v>
      </c>
      <c r="R79" s="15" t="s">
        <v>25</v>
      </c>
    </row>
    <row r="80" spans="1:18" ht="45" customHeight="1">
      <c r="A80" s="356"/>
      <c r="B80" s="19" t="s">
        <v>180</v>
      </c>
      <c r="C80" s="13" t="s">
        <v>16</v>
      </c>
      <c r="D80" s="20"/>
      <c r="E80" s="20"/>
      <c r="F80" s="20"/>
      <c r="G80" s="175">
        <v>0</v>
      </c>
      <c r="H80" s="175">
        <f>Q74</f>
        <v>2543</v>
      </c>
      <c r="I80" s="188">
        <f>G80+H80</f>
        <v>2543</v>
      </c>
      <c r="J80" s="21" t="str">
        <f>B80</f>
        <v>10/06/2025      TO     23/06/2025</v>
      </c>
      <c r="K80" s="22" t="s">
        <v>28</v>
      </c>
      <c r="L80" s="360"/>
      <c r="M80" s="352"/>
      <c r="N80" s="20"/>
      <c r="O80" s="20"/>
      <c r="P80" s="175">
        <v>0</v>
      </c>
      <c r="Q80" s="175">
        <v>0</v>
      </c>
      <c r="R80" s="175">
        <v>0</v>
      </c>
    </row>
    <row r="81" spans="1:18" ht="15.95" customHeight="1">
      <c r="A81" s="356"/>
      <c r="B81" s="23"/>
      <c r="C81" s="20"/>
      <c r="D81" s="20"/>
      <c r="E81" s="20"/>
      <c r="F81" s="20"/>
      <c r="G81" s="175"/>
      <c r="H81" s="175"/>
      <c r="I81" s="188"/>
      <c r="J81" s="24"/>
      <c r="K81" s="20"/>
      <c r="L81" s="276"/>
      <c r="M81" s="214"/>
      <c r="N81" s="20"/>
      <c r="O81" s="20"/>
      <c r="P81" s="177"/>
      <c r="Q81" s="177"/>
      <c r="R81" s="177"/>
    </row>
    <row r="82" spans="1:18" ht="15.95" customHeight="1">
      <c r="A82" s="356"/>
      <c r="B82" s="23"/>
      <c r="C82" s="28"/>
      <c r="D82" s="28"/>
      <c r="E82" s="28"/>
      <c r="F82" s="28"/>
      <c r="G82" s="182"/>
      <c r="H82" s="183"/>
      <c r="I82" s="189"/>
      <c r="J82" s="26"/>
      <c r="K82" s="27"/>
      <c r="L82" s="276"/>
      <c r="M82" s="26"/>
      <c r="N82" s="28"/>
      <c r="O82" s="28"/>
      <c r="P82" s="175"/>
      <c r="Q82" s="178"/>
      <c r="R82" s="177"/>
    </row>
    <row r="83" spans="1:18" ht="15.95" customHeight="1">
      <c r="A83" s="356"/>
      <c r="B83" s="23"/>
      <c r="C83" s="28"/>
      <c r="D83" s="28"/>
      <c r="E83" s="28"/>
      <c r="F83" s="28"/>
      <c r="G83" s="182"/>
      <c r="H83" s="183"/>
      <c r="I83" s="190"/>
      <c r="J83" s="26"/>
      <c r="K83" s="29"/>
      <c r="L83" s="276"/>
      <c r="M83" s="26"/>
      <c r="N83" s="28"/>
      <c r="O83" s="28"/>
      <c r="P83" s="175"/>
      <c r="Q83" s="178"/>
      <c r="R83" s="177"/>
    </row>
    <row r="84" spans="1:18" ht="15.95" customHeight="1">
      <c r="A84" s="356"/>
      <c r="B84" s="23"/>
      <c r="C84" s="28"/>
      <c r="D84" s="28"/>
      <c r="E84" s="28"/>
      <c r="F84" s="28"/>
      <c r="G84" s="182"/>
      <c r="H84" s="183"/>
      <c r="I84" s="190"/>
      <c r="J84" s="26"/>
      <c r="K84" s="29"/>
      <c r="L84" s="276"/>
      <c r="M84" s="26"/>
      <c r="N84" s="28"/>
      <c r="O84" s="28"/>
      <c r="P84" s="175"/>
      <c r="Q84" s="178"/>
      <c r="R84" s="177"/>
    </row>
    <row r="85" spans="1:18" ht="15.95" customHeight="1">
      <c r="A85" s="356"/>
      <c r="B85" s="23"/>
      <c r="C85" s="29"/>
      <c r="D85" s="28"/>
      <c r="E85" s="28"/>
      <c r="F85" s="28"/>
      <c r="G85" s="183"/>
      <c r="H85" s="183"/>
      <c r="I85" s="190"/>
      <c r="J85" s="26"/>
      <c r="K85" s="29"/>
      <c r="L85" s="276"/>
      <c r="M85" s="26"/>
      <c r="N85" s="28"/>
      <c r="O85" s="28"/>
      <c r="P85" s="175"/>
      <c r="Q85" s="178"/>
      <c r="R85" s="177"/>
    </row>
    <row r="86" spans="1:18" ht="20.100000000000001" customHeight="1">
      <c r="A86" s="356"/>
      <c r="B86" s="23"/>
      <c r="C86" s="20"/>
      <c r="D86" s="20"/>
      <c r="E86" s="20"/>
      <c r="F86" s="20"/>
      <c r="G86" s="175"/>
      <c r="H86" s="175"/>
      <c r="I86" s="188"/>
      <c r="J86" s="24"/>
      <c r="K86" s="30" t="s">
        <v>57</v>
      </c>
      <c r="L86" s="215"/>
      <c r="M86" s="216"/>
      <c r="N86" s="31"/>
      <c r="O86" s="31"/>
      <c r="P86" s="196">
        <f>SUM(P80:P85)</f>
        <v>0</v>
      </c>
      <c r="Q86" s="196">
        <f>P86</f>
        <v>0</v>
      </c>
      <c r="R86" s="196">
        <f>P86+Q86</f>
        <v>0</v>
      </c>
    </row>
    <row r="87" spans="1:18" ht="20.100000000000001" customHeight="1">
      <c r="A87" s="356"/>
      <c r="B87" s="23"/>
      <c r="C87" s="20"/>
      <c r="D87" s="20"/>
      <c r="E87" s="20"/>
      <c r="F87" s="20"/>
      <c r="G87" s="177">
        <f>SUM(G80:G86)</f>
        <v>0</v>
      </c>
      <c r="H87" s="177">
        <f>SUM(H80:H86)</f>
        <v>2543</v>
      </c>
      <c r="I87" s="191">
        <f>SUM(I80:I86)</f>
        <v>2543</v>
      </c>
      <c r="J87" s="24"/>
      <c r="K87" s="30" t="s">
        <v>29</v>
      </c>
      <c r="L87" s="215"/>
      <c r="M87" s="216"/>
      <c r="N87" s="31"/>
      <c r="O87" s="31"/>
      <c r="P87" s="198">
        <v>0</v>
      </c>
      <c r="Q87" s="198">
        <f>I80+I82-I85</f>
        <v>2543</v>
      </c>
      <c r="R87" s="198">
        <f>I87-R86</f>
        <v>2543</v>
      </c>
    </row>
    <row r="88" spans="1:18" ht="20.100000000000001" customHeight="1">
      <c r="A88" s="356"/>
      <c r="B88" s="32"/>
      <c r="C88" s="33"/>
      <c r="D88" s="33"/>
      <c r="E88" s="33"/>
      <c r="F88" s="33"/>
      <c r="G88" s="33"/>
      <c r="H88" s="33"/>
      <c r="I88" s="34"/>
      <c r="J88" s="35"/>
      <c r="K88" s="36" t="s">
        <v>30</v>
      </c>
      <c r="L88" s="217"/>
      <c r="M88" s="216"/>
      <c r="N88" s="31"/>
      <c r="O88" s="31"/>
      <c r="P88" s="199">
        <f>P86</f>
        <v>0</v>
      </c>
      <c r="Q88" s="199">
        <f>Q86+Q87</f>
        <v>2543</v>
      </c>
      <c r="R88" s="199">
        <f>R86+R87</f>
        <v>2543</v>
      </c>
    </row>
    <row r="89" spans="1:18" ht="63.6" customHeight="1">
      <c r="A89" s="356"/>
      <c r="B89" s="37"/>
      <c r="C89" s="13"/>
      <c r="D89" s="20"/>
      <c r="E89" s="20"/>
      <c r="F89" s="20"/>
      <c r="G89" s="20"/>
      <c r="H89" s="20"/>
      <c r="I89" s="38"/>
      <c r="J89" s="39"/>
      <c r="K89" s="40"/>
      <c r="L89" s="212"/>
      <c r="M89" s="213"/>
      <c r="N89" s="20"/>
      <c r="O89" s="20"/>
      <c r="P89" s="20"/>
      <c r="Q89" s="20"/>
      <c r="R89" s="20"/>
    </row>
    <row r="90" spans="1:18" ht="45" customHeight="1">
      <c r="A90" s="356"/>
      <c r="B90" s="37" t="s">
        <v>181</v>
      </c>
      <c r="C90" s="13" t="s">
        <v>16</v>
      </c>
      <c r="D90" s="20"/>
      <c r="E90" s="20"/>
      <c r="F90" s="20"/>
      <c r="G90" s="175">
        <v>0</v>
      </c>
      <c r="H90" s="175">
        <f>R87</f>
        <v>2543</v>
      </c>
      <c r="I90" s="188">
        <f>G90+H90</f>
        <v>2543</v>
      </c>
      <c r="J90" s="37" t="str">
        <f>B90</f>
        <v>24/06/2025</v>
      </c>
      <c r="K90" s="40" t="s">
        <v>28</v>
      </c>
      <c r="L90" s="212"/>
      <c r="M90" s="213"/>
      <c r="N90" s="20"/>
      <c r="O90" s="20"/>
      <c r="P90" s="175">
        <v>0</v>
      </c>
      <c r="Q90" s="175">
        <v>0</v>
      </c>
      <c r="R90" s="175">
        <v>0</v>
      </c>
    </row>
    <row r="91" spans="1:18" ht="15.95" customHeight="1">
      <c r="A91" s="356"/>
      <c r="B91" s="23"/>
      <c r="C91" s="20"/>
      <c r="D91" s="20"/>
      <c r="E91" s="20"/>
      <c r="F91" s="20"/>
      <c r="G91" s="175"/>
      <c r="H91" s="175"/>
      <c r="I91" s="188"/>
      <c r="J91" s="24"/>
      <c r="K91" s="41"/>
      <c r="L91" s="218"/>
      <c r="M91" s="213"/>
      <c r="N91" s="20"/>
      <c r="O91" s="20"/>
      <c r="P91" s="175"/>
      <c r="Q91" s="175"/>
      <c r="R91" s="177"/>
    </row>
    <row r="92" spans="1:18" ht="15.95" customHeight="1">
      <c r="A92" s="356"/>
      <c r="B92" s="19"/>
      <c r="C92" s="42" t="s">
        <v>182</v>
      </c>
      <c r="D92" s="20"/>
      <c r="E92" s="20"/>
      <c r="F92" s="20"/>
      <c r="G92" s="180">
        <v>0</v>
      </c>
      <c r="H92" s="180">
        <v>1500</v>
      </c>
      <c r="I92" s="181">
        <f>H92</f>
        <v>1500</v>
      </c>
      <c r="J92" s="24"/>
      <c r="K92" s="41"/>
      <c r="L92" s="218"/>
      <c r="M92" s="213"/>
      <c r="N92" s="20"/>
      <c r="O92" s="20"/>
      <c r="P92" s="175"/>
      <c r="Q92" s="178"/>
      <c r="R92" s="177"/>
    </row>
    <row r="93" spans="1:18" ht="15.95" customHeight="1">
      <c r="A93" s="356"/>
      <c r="B93" s="23"/>
      <c r="C93" s="42" t="s">
        <v>183</v>
      </c>
      <c r="D93" s="20"/>
      <c r="E93" s="20"/>
      <c r="F93" s="20"/>
      <c r="G93" s="180">
        <v>0</v>
      </c>
      <c r="H93" s="180">
        <v>500</v>
      </c>
      <c r="I93" s="181">
        <f t="shared" ref="I93:I94" si="1">H93</f>
        <v>500</v>
      </c>
      <c r="J93" s="24"/>
      <c r="K93" s="41"/>
      <c r="L93" s="218"/>
      <c r="M93" s="213"/>
      <c r="N93" s="20"/>
      <c r="O93" s="20"/>
      <c r="P93" s="175"/>
      <c r="Q93" s="178"/>
      <c r="R93" s="177"/>
    </row>
    <row r="94" spans="1:18" ht="15.95" customHeight="1">
      <c r="A94" s="356"/>
      <c r="B94" s="23"/>
      <c r="C94" s="42" t="s">
        <v>71</v>
      </c>
      <c r="D94" s="20"/>
      <c r="E94" s="20"/>
      <c r="F94" s="20"/>
      <c r="G94" s="180">
        <v>0</v>
      </c>
      <c r="H94" s="180">
        <v>3000</v>
      </c>
      <c r="I94" s="181">
        <f t="shared" si="1"/>
        <v>3000</v>
      </c>
      <c r="J94" s="24"/>
      <c r="K94" s="41"/>
      <c r="L94" s="218"/>
      <c r="M94" s="213"/>
      <c r="N94" s="20"/>
      <c r="O94" s="20"/>
      <c r="P94" s="175"/>
      <c r="Q94" s="178"/>
      <c r="R94" s="177"/>
    </row>
    <row r="95" spans="1:18" ht="15.95" customHeight="1">
      <c r="A95" s="356"/>
      <c r="B95" s="23"/>
      <c r="C95" s="41"/>
      <c r="D95" s="20"/>
      <c r="E95" s="20"/>
      <c r="F95" s="20"/>
      <c r="G95" s="183"/>
      <c r="H95" s="183"/>
      <c r="I95" s="190"/>
      <c r="J95" s="24"/>
      <c r="K95" s="41"/>
      <c r="L95" s="218"/>
      <c r="M95" s="213"/>
      <c r="N95" s="20"/>
      <c r="O95" s="20"/>
      <c r="P95" s="175"/>
      <c r="Q95" s="178"/>
      <c r="R95" s="177"/>
    </row>
    <row r="96" spans="1:18" ht="20.100000000000001" customHeight="1">
      <c r="A96" s="356"/>
      <c r="B96" s="23"/>
      <c r="C96" s="20"/>
      <c r="D96" s="20"/>
      <c r="E96" s="20"/>
      <c r="F96" s="20"/>
      <c r="G96" s="175"/>
      <c r="H96" s="175"/>
      <c r="I96" s="188"/>
      <c r="J96" s="24"/>
      <c r="K96" s="30" t="s">
        <v>57</v>
      </c>
      <c r="L96" s="215"/>
      <c r="M96" s="213"/>
      <c r="N96" s="20"/>
      <c r="O96" s="20"/>
      <c r="P96" s="196">
        <f>SUM(P90:P95)</f>
        <v>0</v>
      </c>
      <c r="Q96" s="196">
        <f>P96</f>
        <v>0</v>
      </c>
      <c r="R96" s="196">
        <f>P96+Q96</f>
        <v>0</v>
      </c>
    </row>
    <row r="97" spans="1:18" ht="20.100000000000001" customHeight="1">
      <c r="A97" s="356"/>
      <c r="B97" s="23"/>
      <c r="C97" s="20"/>
      <c r="D97" s="20"/>
      <c r="E97" s="20"/>
      <c r="F97" s="20"/>
      <c r="G97" s="177">
        <f>SUM(G90:G96)</f>
        <v>0</v>
      </c>
      <c r="H97" s="177">
        <f>SUM(H90:H96)</f>
        <v>7543</v>
      </c>
      <c r="I97" s="191">
        <f>SUM(I90:I96)</f>
        <v>7543</v>
      </c>
      <c r="J97" s="24"/>
      <c r="K97" s="30" t="s">
        <v>29</v>
      </c>
      <c r="L97" s="215"/>
      <c r="M97" s="213"/>
      <c r="N97" s="20"/>
      <c r="O97" s="20"/>
      <c r="P97" s="198">
        <v>0</v>
      </c>
      <c r="Q97" s="198">
        <f>H97</f>
        <v>7543</v>
      </c>
      <c r="R97" s="198">
        <f>I97-R96</f>
        <v>7543</v>
      </c>
    </row>
    <row r="98" spans="1:18" ht="20.100000000000001" customHeight="1">
      <c r="A98" s="356"/>
      <c r="B98" s="23"/>
      <c r="C98" s="20"/>
      <c r="D98" s="20"/>
      <c r="E98" s="20"/>
      <c r="F98" s="20"/>
      <c r="G98" s="20"/>
      <c r="H98" s="20"/>
      <c r="I98" s="38"/>
      <c r="J98" s="24"/>
      <c r="K98" s="30" t="s">
        <v>30</v>
      </c>
      <c r="L98" s="215"/>
      <c r="M98" s="213"/>
      <c r="N98" s="20"/>
      <c r="O98" s="20"/>
      <c r="P98" s="199">
        <f>P96</f>
        <v>0</v>
      </c>
      <c r="Q98" s="199">
        <f>Q96+Q97</f>
        <v>7543</v>
      </c>
      <c r="R98" s="199">
        <f>R96+R97</f>
        <v>7543</v>
      </c>
    </row>
    <row r="99" spans="1:18" ht="46.5" customHeight="1">
      <c r="A99" s="356"/>
      <c r="B99" s="336"/>
      <c r="C99" s="336"/>
      <c r="D99" s="336"/>
      <c r="E99" s="336"/>
      <c r="F99" s="336"/>
      <c r="G99" s="336"/>
      <c r="H99" s="336"/>
      <c r="I99" s="336"/>
      <c r="J99" s="336"/>
      <c r="K99" s="336"/>
      <c r="L99" s="336"/>
      <c r="M99" s="336"/>
      <c r="N99" s="336"/>
      <c r="O99" s="336"/>
      <c r="P99" s="336"/>
      <c r="Q99" s="336"/>
      <c r="R99" s="336"/>
    </row>
    <row r="100" spans="1:18" ht="42.6" customHeight="1">
      <c r="A100" s="6">
        <f ca="1">A100:R124</f>
        <v>0</v>
      </c>
      <c r="B100" s="340" t="s">
        <v>139</v>
      </c>
      <c r="C100" s="341"/>
      <c r="D100" s="341"/>
      <c r="E100" s="341"/>
      <c r="F100" s="341"/>
      <c r="G100" s="341"/>
      <c r="H100" s="341"/>
      <c r="I100" s="341"/>
      <c r="J100" s="341"/>
      <c r="K100" s="341"/>
      <c r="L100" s="341"/>
      <c r="M100" s="341"/>
      <c r="N100" s="341"/>
      <c r="O100" s="341"/>
      <c r="P100" s="341"/>
      <c r="Q100" s="341"/>
      <c r="R100" s="341"/>
    </row>
    <row r="101" spans="1:18" ht="43.5" customHeight="1">
      <c r="A101" s="6"/>
      <c r="B101" s="342"/>
      <c r="C101" s="343"/>
      <c r="D101" s="343"/>
      <c r="E101" s="343"/>
      <c r="F101" s="343"/>
      <c r="G101" s="343"/>
      <c r="H101" s="343"/>
      <c r="I101" s="344"/>
      <c r="J101" s="345"/>
      <c r="K101" s="345"/>
      <c r="L101" s="345"/>
      <c r="M101" s="345"/>
      <c r="N101" s="345"/>
      <c r="O101" s="345"/>
      <c r="P101" s="345"/>
      <c r="Q101" s="345"/>
      <c r="R101" s="346"/>
    </row>
    <row r="102" spans="1:18" ht="66" customHeight="1">
      <c r="A102" s="6"/>
      <c r="B102" s="15" t="s">
        <v>9</v>
      </c>
      <c r="C102" s="15" t="s">
        <v>19</v>
      </c>
      <c r="D102" s="16" t="s">
        <v>20</v>
      </c>
      <c r="E102" s="16" t="s">
        <v>21</v>
      </c>
      <c r="F102" s="16" t="s">
        <v>22</v>
      </c>
      <c r="G102" s="15" t="s">
        <v>23</v>
      </c>
      <c r="H102" s="15" t="s">
        <v>24</v>
      </c>
      <c r="I102" s="48" t="s">
        <v>25</v>
      </c>
      <c r="J102" s="50" t="s">
        <v>9</v>
      </c>
      <c r="K102" s="15" t="s">
        <v>56</v>
      </c>
      <c r="L102" s="347" t="s">
        <v>26</v>
      </c>
      <c r="M102" s="348"/>
      <c r="N102" s="16" t="s">
        <v>27</v>
      </c>
      <c r="O102" s="16" t="s">
        <v>22</v>
      </c>
      <c r="P102" s="15" t="s">
        <v>23</v>
      </c>
      <c r="Q102" s="15" t="s">
        <v>24</v>
      </c>
      <c r="R102" s="15" t="s">
        <v>25</v>
      </c>
    </row>
    <row r="103" spans="1:18" ht="45" customHeight="1">
      <c r="A103" s="6"/>
      <c r="B103" s="37">
        <v>45695</v>
      </c>
      <c r="C103" s="13" t="s">
        <v>16</v>
      </c>
      <c r="D103" s="20"/>
      <c r="E103" s="20"/>
      <c r="F103" s="20"/>
      <c r="G103" s="175">
        <v>0</v>
      </c>
      <c r="H103" s="175">
        <f>Q97</f>
        <v>7543</v>
      </c>
      <c r="I103" s="176">
        <f>G103+H103</f>
        <v>7543</v>
      </c>
      <c r="J103" s="51">
        <f>B103</f>
        <v>45695</v>
      </c>
      <c r="K103" s="44" t="s">
        <v>210</v>
      </c>
      <c r="L103" s="334" t="s">
        <v>211</v>
      </c>
      <c r="M103" s="335"/>
      <c r="N103" s="192" t="s">
        <v>212</v>
      </c>
      <c r="O103" s="20"/>
      <c r="P103" s="175">
        <v>0</v>
      </c>
      <c r="Q103" s="175">
        <v>5000</v>
      </c>
      <c r="R103" s="175">
        <f>Q103</f>
        <v>5000</v>
      </c>
    </row>
    <row r="104" spans="1:18" ht="15.95" customHeight="1">
      <c r="A104" s="6"/>
      <c r="B104" s="23"/>
      <c r="C104" s="20"/>
      <c r="D104" s="20"/>
      <c r="E104" s="20"/>
      <c r="F104" s="20"/>
      <c r="G104" s="175"/>
      <c r="H104" s="175"/>
      <c r="I104" s="176"/>
      <c r="J104" s="52"/>
      <c r="K104" s="222" t="s">
        <v>79</v>
      </c>
      <c r="L104" s="223"/>
      <c r="M104" s="211"/>
      <c r="N104" s="192"/>
      <c r="O104" s="20"/>
      <c r="P104" s="177"/>
      <c r="Q104" s="177"/>
      <c r="R104" s="177"/>
    </row>
    <row r="105" spans="1:18" ht="15.95" customHeight="1">
      <c r="A105" s="6"/>
      <c r="B105" s="23"/>
      <c r="C105" s="29"/>
      <c r="D105" s="28"/>
      <c r="E105" s="28"/>
      <c r="F105" s="28"/>
      <c r="G105" s="182"/>
      <c r="H105" s="183"/>
      <c r="I105" s="187"/>
      <c r="J105" s="53"/>
      <c r="K105" s="100" t="s">
        <v>213</v>
      </c>
      <c r="L105" s="221">
        <v>45689</v>
      </c>
      <c r="M105" s="224">
        <v>45995</v>
      </c>
      <c r="N105" s="192"/>
      <c r="O105" s="20"/>
      <c r="P105" s="177">
        <v>500</v>
      </c>
      <c r="Q105" s="177"/>
      <c r="R105" s="177">
        <f>P105</f>
        <v>500</v>
      </c>
    </row>
    <row r="106" spans="1:18" ht="15.95" customHeight="1">
      <c r="A106" s="6"/>
      <c r="B106" s="23"/>
      <c r="C106" s="29"/>
      <c r="D106" s="28"/>
      <c r="E106" s="28"/>
      <c r="F106" s="28"/>
      <c r="G106" s="182"/>
      <c r="H106" s="183"/>
      <c r="I106" s="187"/>
      <c r="J106" s="53"/>
      <c r="K106" s="118" t="s">
        <v>156</v>
      </c>
      <c r="L106" s="221">
        <v>45690</v>
      </c>
      <c r="M106" s="224" t="s">
        <v>214</v>
      </c>
      <c r="N106" s="192"/>
      <c r="O106" s="20"/>
      <c r="P106" s="177">
        <v>500</v>
      </c>
      <c r="Q106" s="177"/>
      <c r="R106" s="177">
        <f t="shared" ref="R106:R112" si="2">P106</f>
        <v>500</v>
      </c>
    </row>
    <row r="107" spans="1:18" ht="15.95" customHeight="1">
      <c r="A107" s="6"/>
      <c r="B107" s="23"/>
      <c r="C107" s="28"/>
      <c r="D107" s="28"/>
      <c r="E107" s="28"/>
      <c r="F107" s="28"/>
      <c r="G107" s="182"/>
      <c r="H107" s="183"/>
      <c r="I107" s="184"/>
      <c r="J107" s="53"/>
      <c r="K107" s="100" t="s">
        <v>213</v>
      </c>
      <c r="L107" s="221">
        <v>45691</v>
      </c>
      <c r="M107" s="224">
        <v>45721</v>
      </c>
      <c r="N107" s="192"/>
      <c r="O107" s="20"/>
      <c r="P107" s="177">
        <v>500</v>
      </c>
      <c r="Q107" s="177"/>
      <c r="R107" s="177">
        <f t="shared" si="2"/>
        <v>500</v>
      </c>
    </row>
    <row r="108" spans="1:18" ht="15.95" customHeight="1">
      <c r="A108" s="6"/>
      <c r="B108" s="23"/>
      <c r="C108" s="29"/>
      <c r="D108" s="28"/>
      <c r="E108" s="28"/>
      <c r="F108" s="28"/>
      <c r="G108" s="183"/>
      <c r="H108" s="183"/>
      <c r="I108" s="184"/>
      <c r="J108" s="53"/>
      <c r="K108" s="118" t="s">
        <v>156</v>
      </c>
      <c r="L108" s="221">
        <v>45692</v>
      </c>
      <c r="M108" s="224">
        <v>45721</v>
      </c>
      <c r="N108" s="192"/>
      <c r="O108" s="20"/>
      <c r="P108" s="177">
        <v>500</v>
      </c>
      <c r="Q108" s="177"/>
      <c r="R108" s="177">
        <f t="shared" si="2"/>
        <v>500</v>
      </c>
    </row>
    <row r="109" spans="1:18" ht="15.95" customHeight="1">
      <c r="A109" s="6"/>
      <c r="B109" s="23"/>
      <c r="C109" s="29"/>
      <c r="D109" s="28"/>
      <c r="E109" s="28"/>
      <c r="F109" s="28"/>
      <c r="G109" s="183"/>
      <c r="H109" s="183"/>
      <c r="I109" s="184"/>
      <c r="J109" s="53"/>
      <c r="K109" s="100" t="s">
        <v>213</v>
      </c>
      <c r="L109" s="221">
        <v>45693</v>
      </c>
      <c r="M109" s="224">
        <v>45997</v>
      </c>
      <c r="N109" s="192"/>
      <c r="O109" s="20"/>
      <c r="P109" s="177">
        <v>500</v>
      </c>
      <c r="Q109" s="177"/>
      <c r="R109" s="177">
        <f t="shared" si="2"/>
        <v>500</v>
      </c>
    </row>
    <row r="110" spans="1:18" ht="15.95" customHeight="1">
      <c r="A110" s="6"/>
      <c r="B110" s="23"/>
      <c r="C110" s="29"/>
      <c r="D110" s="28"/>
      <c r="E110" s="28"/>
      <c r="F110" s="28"/>
      <c r="G110" s="183"/>
      <c r="H110" s="183"/>
      <c r="I110" s="184"/>
      <c r="J110" s="53"/>
      <c r="K110" s="118" t="s">
        <v>156</v>
      </c>
      <c r="L110" s="221">
        <v>45694</v>
      </c>
      <c r="M110" s="224" t="s">
        <v>215</v>
      </c>
      <c r="N110" s="192"/>
      <c r="O110" s="20"/>
      <c r="P110" s="177">
        <v>500</v>
      </c>
      <c r="Q110" s="177"/>
      <c r="R110" s="177">
        <f t="shared" si="2"/>
        <v>500</v>
      </c>
    </row>
    <row r="111" spans="1:18" ht="15.95" customHeight="1">
      <c r="A111" s="6"/>
      <c r="B111" s="23"/>
      <c r="C111" s="29"/>
      <c r="D111" s="28"/>
      <c r="E111" s="28"/>
      <c r="F111" s="28"/>
      <c r="G111" s="183"/>
      <c r="H111" s="183"/>
      <c r="I111" s="184"/>
      <c r="J111" s="53"/>
      <c r="K111" s="118" t="s">
        <v>169</v>
      </c>
      <c r="L111" s="221">
        <v>45695</v>
      </c>
      <c r="M111" s="224" t="s">
        <v>216</v>
      </c>
      <c r="N111" s="192"/>
      <c r="O111" s="20"/>
      <c r="P111" s="177">
        <v>1500</v>
      </c>
      <c r="Q111" s="177"/>
      <c r="R111" s="177">
        <f t="shared" si="2"/>
        <v>1500</v>
      </c>
    </row>
    <row r="112" spans="1:18" ht="15.95" customHeight="1">
      <c r="A112" s="6"/>
      <c r="B112" s="23"/>
      <c r="C112" s="195" t="s">
        <v>142</v>
      </c>
      <c r="D112" s="28"/>
      <c r="E112" s="28"/>
      <c r="F112" s="182"/>
      <c r="G112" s="185">
        <v>5000</v>
      </c>
      <c r="H112" s="193">
        <v>0</v>
      </c>
      <c r="I112" s="194">
        <f>G112</f>
        <v>5000</v>
      </c>
      <c r="J112" s="53"/>
      <c r="K112" s="119" t="s">
        <v>174</v>
      </c>
      <c r="L112" s="221">
        <v>45696</v>
      </c>
      <c r="M112" s="224">
        <v>45664</v>
      </c>
      <c r="N112" s="192"/>
      <c r="O112" s="20"/>
      <c r="P112" s="177">
        <v>500</v>
      </c>
      <c r="Q112" s="177"/>
      <c r="R112" s="177">
        <f t="shared" si="2"/>
        <v>500</v>
      </c>
    </row>
    <row r="113" spans="1:18" ht="20.100000000000001" customHeight="1">
      <c r="A113" s="6"/>
      <c r="B113" s="23"/>
      <c r="C113" s="20"/>
      <c r="D113" s="20"/>
      <c r="E113" s="20"/>
      <c r="F113" s="20"/>
      <c r="G113" s="175"/>
      <c r="H113" s="175"/>
      <c r="I113" s="176"/>
      <c r="J113" s="52"/>
      <c r="K113" s="30" t="s">
        <v>57</v>
      </c>
      <c r="L113" s="215"/>
      <c r="M113" s="216"/>
      <c r="N113" s="31"/>
      <c r="O113" s="31"/>
      <c r="P113" s="196">
        <f>SUM(P103:P112)</f>
        <v>5000</v>
      </c>
      <c r="Q113" s="196">
        <f>P113</f>
        <v>5000</v>
      </c>
      <c r="R113" s="196">
        <f>P113+Q113</f>
        <v>10000</v>
      </c>
    </row>
    <row r="114" spans="1:18" ht="20.100000000000001" customHeight="1">
      <c r="A114" s="6"/>
      <c r="B114" s="23"/>
      <c r="C114" s="20"/>
      <c r="D114" s="20"/>
      <c r="E114" s="20"/>
      <c r="F114" s="20"/>
      <c r="G114" s="177">
        <f>SUM(G103:G113)</f>
        <v>5000</v>
      </c>
      <c r="H114" s="177">
        <f>SUM(H103:H113)</f>
        <v>7543</v>
      </c>
      <c r="I114" s="186">
        <f>SUM(I103:I113)</f>
        <v>12543</v>
      </c>
      <c r="J114" s="52"/>
      <c r="K114" s="30" t="s">
        <v>29</v>
      </c>
      <c r="L114" s="215"/>
      <c r="M114" s="216"/>
      <c r="N114" s="31"/>
      <c r="O114" s="31"/>
      <c r="P114" s="197">
        <v>0</v>
      </c>
      <c r="Q114" s="197">
        <f>H114-Q113</f>
        <v>2543</v>
      </c>
      <c r="R114" s="197">
        <f>I114-R113</f>
        <v>2543</v>
      </c>
    </row>
    <row r="115" spans="1:18" ht="20.100000000000001" customHeight="1">
      <c r="A115" s="6"/>
      <c r="B115" s="23"/>
      <c r="C115" s="20"/>
      <c r="D115" s="20"/>
      <c r="E115" s="20"/>
      <c r="F115" s="20"/>
      <c r="G115" s="20"/>
      <c r="H115" s="20"/>
      <c r="I115" s="49"/>
      <c r="J115" s="52"/>
      <c r="K115" s="30" t="s">
        <v>30</v>
      </c>
      <c r="L115" s="215"/>
      <c r="M115" s="216"/>
      <c r="N115" s="31"/>
      <c r="O115" s="31"/>
      <c r="P115" s="199">
        <f>P113</f>
        <v>5000</v>
      </c>
      <c r="Q115" s="199">
        <f>Q113+Q114</f>
        <v>7543</v>
      </c>
      <c r="R115" s="199">
        <f>R113+R114</f>
        <v>12543</v>
      </c>
    </row>
    <row r="116" spans="1:18" ht="39.75" customHeight="1">
      <c r="A116" s="6"/>
      <c r="B116" s="43"/>
      <c r="C116" s="43"/>
      <c r="D116" s="20"/>
      <c r="E116" s="20"/>
      <c r="F116" s="20"/>
      <c r="G116" s="20"/>
      <c r="H116" s="20"/>
      <c r="I116" s="49"/>
      <c r="J116" s="51"/>
      <c r="K116" s="20"/>
      <c r="L116" s="349"/>
      <c r="M116" s="350"/>
      <c r="N116" s="20"/>
      <c r="O116" s="20"/>
      <c r="P116" s="20"/>
      <c r="Q116" s="20"/>
      <c r="R116" s="20"/>
    </row>
    <row r="117" spans="1:18" ht="45" customHeight="1">
      <c r="A117" s="6"/>
      <c r="B117" s="37" t="s">
        <v>194</v>
      </c>
      <c r="C117" s="13" t="s">
        <v>16</v>
      </c>
      <c r="D117" s="20"/>
      <c r="E117" s="20"/>
      <c r="F117" s="20"/>
      <c r="G117" s="175">
        <v>0</v>
      </c>
      <c r="H117" s="175">
        <f>Q114</f>
        <v>2543</v>
      </c>
      <c r="I117" s="176">
        <f>G117+H117</f>
        <v>2543</v>
      </c>
      <c r="J117" s="51" t="str">
        <f>B117</f>
        <v>16/07/2025</v>
      </c>
      <c r="K117" s="40" t="s">
        <v>28</v>
      </c>
      <c r="L117" s="351"/>
      <c r="M117" s="352"/>
      <c r="N117" s="20"/>
      <c r="O117" s="20"/>
      <c r="P117" s="175">
        <v>0</v>
      </c>
      <c r="Q117" s="175">
        <v>0</v>
      </c>
      <c r="R117" s="175">
        <v>0</v>
      </c>
    </row>
    <row r="118" spans="1:18" ht="15.95" customHeight="1">
      <c r="A118" s="6"/>
      <c r="B118" s="23"/>
      <c r="C118" s="20"/>
      <c r="D118" s="20"/>
      <c r="E118" s="20"/>
      <c r="F118" s="20"/>
      <c r="G118" s="175"/>
      <c r="H118" s="175"/>
      <c r="I118" s="176"/>
      <c r="J118" s="52"/>
      <c r="K118" s="20"/>
      <c r="L118" s="49"/>
      <c r="M118" s="213"/>
      <c r="N118" s="20"/>
      <c r="O118" s="20"/>
      <c r="P118" s="175"/>
      <c r="Q118" s="175"/>
      <c r="R118" s="177"/>
    </row>
    <row r="119" spans="1:18" ht="15.95" customHeight="1">
      <c r="A119" s="6"/>
      <c r="B119" s="23"/>
      <c r="C119" s="42" t="s">
        <v>219</v>
      </c>
      <c r="D119" s="20"/>
      <c r="E119" s="20"/>
      <c r="F119" s="20"/>
      <c r="G119" s="179"/>
      <c r="H119" s="180">
        <v>1100</v>
      </c>
      <c r="I119" s="181">
        <f>H119</f>
        <v>1100</v>
      </c>
      <c r="J119" s="52"/>
      <c r="K119" s="20"/>
      <c r="L119" s="49"/>
      <c r="M119" s="213"/>
      <c r="N119" s="20"/>
      <c r="O119" s="20"/>
      <c r="P119" s="175"/>
      <c r="Q119" s="178"/>
      <c r="R119" s="177"/>
    </row>
    <row r="120" spans="1:18" ht="15.95" customHeight="1">
      <c r="A120" s="6"/>
      <c r="B120" s="23"/>
      <c r="C120" s="20"/>
      <c r="D120" s="20"/>
      <c r="E120" s="20"/>
      <c r="F120" s="20"/>
      <c r="G120" s="182"/>
      <c r="H120" s="183"/>
      <c r="I120" s="184"/>
      <c r="J120" s="52"/>
      <c r="K120" s="20"/>
      <c r="L120" s="49"/>
      <c r="M120" s="213"/>
      <c r="N120" s="20"/>
      <c r="O120" s="20"/>
      <c r="P120" s="175"/>
      <c r="Q120" s="178"/>
      <c r="R120" s="177"/>
    </row>
    <row r="121" spans="1:18" ht="15.95" customHeight="1">
      <c r="A121" s="6"/>
      <c r="B121" s="23"/>
      <c r="C121" s="20"/>
      <c r="D121" s="20"/>
      <c r="E121" s="20"/>
      <c r="F121" s="20"/>
      <c r="G121" s="183"/>
      <c r="H121" s="183"/>
      <c r="I121" s="184"/>
      <c r="J121" s="52"/>
      <c r="K121" s="20"/>
      <c r="L121" s="49"/>
      <c r="M121" s="213"/>
      <c r="N121" s="20"/>
      <c r="O121" s="20"/>
      <c r="P121" s="175"/>
      <c r="Q121" s="178"/>
      <c r="R121" s="177"/>
    </row>
    <row r="122" spans="1:18" ht="20.100000000000001" customHeight="1">
      <c r="A122" s="6"/>
      <c r="B122" s="23"/>
      <c r="C122" s="20"/>
      <c r="D122" s="20"/>
      <c r="E122" s="20"/>
      <c r="F122" s="20"/>
      <c r="G122" s="175"/>
      <c r="H122" s="175"/>
      <c r="I122" s="176"/>
      <c r="J122" s="52"/>
      <c r="K122" s="30" t="s">
        <v>57</v>
      </c>
      <c r="L122" s="215"/>
      <c r="M122" s="213"/>
      <c r="N122" s="20"/>
      <c r="O122" s="20"/>
      <c r="P122" s="196">
        <f>SUM(P117:P121)</f>
        <v>0</v>
      </c>
      <c r="Q122" s="196">
        <f>P122</f>
        <v>0</v>
      </c>
      <c r="R122" s="196">
        <f>P122+Q122</f>
        <v>0</v>
      </c>
    </row>
    <row r="123" spans="1:18" ht="20.100000000000001" customHeight="1">
      <c r="A123" s="6"/>
      <c r="B123" s="23"/>
      <c r="C123" s="20"/>
      <c r="D123" s="20"/>
      <c r="E123" s="20"/>
      <c r="F123" s="20"/>
      <c r="G123" s="177">
        <f>SUM(G117:G122)</f>
        <v>0</v>
      </c>
      <c r="H123" s="177">
        <f>SUM(H117:H122)</f>
        <v>3643</v>
      </c>
      <c r="I123" s="186">
        <f>SUM(I117:I122)</f>
        <v>3643</v>
      </c>
      <c r="J123" s="52"/>
      <c r="K123" s="30" t="s">
        <v>29</v>
      </c>
      <c r="L123" s="215"/>
      <c r="M123" s="213"/>
      <c r="N123" s="20"/>
      <c r="O123" s="20"/>
      <c r="P123" s="198">
        <v>0</v>
      </c>
      <c r="Q123" s="198">
        <f>I117+I119-I121</f>
        <v>3643</v>
      </c>
      <c r="R123" s="198">
        <f>I123-R122</f>
        <v>3643</v>
      </c>
    </row>
    <row r="124" spans="1:18" ht="20.100000000000001" customHeight="1">
      <c r="A124" s="6"/>
      <c r="B124" s="23"/>
      <c r="C124" s="20"/>
      <c r="D124" s="20"/>
      <c r="E124" s="20"/>
      <c r="F124" s="20"/>
      <c r="G124" s="20"/>
      <c r="H124" s="20"/>
      <c r="I124" s="49"/>
      <c r="J124" s="52"/>
      <c r="K124" s="30" t="s">
        <v>30</v>
      </c>
      <c r="L124" s="215"/>
      <c r="M124" s="213"/>
      <c r="N124" s="20"/>
      <c r="O124" s="20"/>
      <c r="P124" s="199">
        <f>P122</f>
        <v>0</v>
      </c>
      <c r="Q124" s="199">
        <f>Q122+Q123</f>
        <v>3643</v>
      </c>
      <c r="R124" s="199">
        <f>R122+R123</f>
        <v>3643</v>
      </c>
    </row>
    <row r="125" spans="1:18" ht="21" customHeight="1">
      <c r="A125" s="6"/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336"/>
      <c r="O125" s="336"/>
      <c r="P125" s="336"/>
      <c r="Q125" s="336"/>
      <c r="R125" s="336"/>
    </row>
    <row r="126" spans="1:18" ht="42.6" customHeight="1">
      <c r="A126" s="6">
        <f ca="1">A126:R147</f>
        <v>0</v>
      </c>
      <c r="B126" s="340" t="s">
        <v>139</v>
      </c>
      <c r="C126" s="341"/>
      <c r="D126" s="341"/>
      <c r="E126" s="341"/>
      <c r="F126" s="341"/>
      <c r="G126" s="341"/>
      <c r="H126" s="341"/>
      <c r="I126" s="341"/>
      <c r="J126" s="341"/>
      <c r="K126" s="341"/>
      <c r="L126" s="341"/>
      <c r="M126" s="341"/>
      <c r="N126" s="341"/>
      <c r="O126" s="341"/>
      <c r="P126" s="341"/>
      <c r="Q126" s="341"/>
      <c r="R126" s="341"/>
    </row>
    <row r="127" spans="1:18" ht="43.5" customHeight="1">
      <c r="A127" s="6"/>
      <c r="B127" s="342"/>
      <c r="C127" s="343"/>
      <c r="D127" s="343"/>
      <c r="E127" s="343"/>
      <c r="F127" s="343"/>
      <c r="G127" s="343"/>
      <c r="H127" s="343"/>
      <c r="I127" s="344"/>
      <c r="J127" s="345"/>
      <c r="K127" s="345"/>
      <c r="L127" s="345"/>
      <c r="M127" s="345"/>
      <c r="N127" s="345"/>
      <c r="O127" s="345"/>
      <c r="P127" s="345"/>
      <c r="Q127" s="345"/>
      <c r="R127" s="346"/>
    </row>
    <row r="128" spans="1:18" ht="66" customHeight="1">
      <c r="A128" s="6"/>
      <c r="B128" s="15" t="s">
        <v>9</v>
      </c>
      <c r="C128" s="15" t="s">
        <v>19</v>
      </c>
      <c r="D128" s="16" t="s">
        <v>20</v>
      </c>
      <c r="E128" s="16" t="s">
        <v>21</v>
      </c>
      <c r="F128" s="16" t="s">
        <v>22</v>
      </c>
      <c r="G128" s="15" t="s">
        <v>23</v>
      </c>
      <c r="H128" s="15" t="s">
        <v>24</v>
      </c>
      <c r="I128" s="48" t="s">
        <v>25</v>
      </c>
      <c r="J128" s="50" t="s">
        <v>9</v>
      </c>
      <c r="K128" s="15" t="s">
        <v>56</v>
      </c>
      <c r="L128" s="347" t="s">
        <v>26</v>
      </c>
      <c r="M128" s="348"/>
      <c r="N128" s="16" t="s">
        <v>27</v>
      </c>
      <c r="O128" s="16" t="s">
        <v>22</v>
      </c>
      <c r="P128" s="15" t="s">
        <v>23</v>
      </c>
      <c r="Q128" s="15" t="s">
        <v>24</v>
      </c>
      <c r="R128" s="15" t="s">
        <v>25</v>
      </c>
    </row>
    <row r="129" spans="1:18" ht="45" customHeight="1">
      <c r="A129" s="6"/>
      <c r="B129" s="37" t="s">
        <v>206</v>
      </c>
      <c r="C129" s="13" t="s">
        <v>16</v>
      </c>
      <c r="D129" s="20"/>
      <c r="E129" s="20"/>
      <c r="F129" s="20"/>
      <c r="G129" s="175">
        <v>0</v>
      </c>
      <c r="H129" s="175">
        <f>Q123</f>
        <v>3643</v>
      </c>
      <c r="I129" s="176">
        <f>G129+H129</f>
        <v>3643</v>
      </c>
      <c r="J129" s="51" t="str">
        <f>B129</f>
        <v>24/07/2025</v>
      </c>
      <c r="K129" s="40" t="s">
        <v>28</v>
      </c>
      <c r="L129" s="351"/>
      <c r="M129" s="352"/>
      <c r="N129" s="20"/>
      <c r="O129" s="20"/>
      <c r="P129" s="175">
        <v>0</v>
      </c>
      <c r="Q129" s="175">
        <v>0</v>
      </c>
      <c r="R129" s="175">
        <f>Q129</f>
        <v>0</v>
      </c>
    </row>
    <row r="130" spans="1:18" ht="15.95" customHeight="1">
      <c r="A130" s="6"/>
      <c r="B130" s="23"/>
      <c r="C130" s="20"/>
      <c r="D130" s="20"/>
      <c r="E130" s="20"/>
      <c r="F130" s="20"/>
      <c r="G130" s="175"/>
      <c r="H130" s="175"/>
      <c r="I130" s="176"/>
      <c r="J130" s="52"/>
      <c r="K130" s="20"/>
      <c r="L130" s="49"/>
      <c r="M130" s="213"/>
      <c r="N130" s="20"/>
      <c r="O130" s="20"/>
      <c r="P130" s="175"/>
      <c r="Q130" s="175"/>
      <c r="R130" s="177"/>
    </row>
    <row r="131" spans="1:18" ht="15.95" customHeight="1">
      <c r="A131" s="6"/>
      <c r="B131" s="23"/>
      <c r="C131" s="29" t="s">
        <v>220</v>
      </c>
      <c r="D131" s="28"/>
      <c r="E131" s="28"/>
      <c r="F131" s="28"/>
      <c r="G131" s="182"/>
      <c r="H131" s="180">
        <v>1000</v>
      </c>
      <c r="I131" s="181">
        <f>H131</f>
        <v>1000</v>
      </c>
      <c r="J131" s="53"/>
      <c r="K131" s="27"/>
      <c r="L131" s="219"/>
      <c r="M131" s="26"/>
      <c r="N131" s="28"/>
      <c r="O131" s="28"/>
      <c r="P131" s="175"/>
      <c r="Q131" s="178"/>
      <c r="R131" s="177"/>
    </row>
    <row r="132" spans="1:18" ht="15.95" customHeight="1">
      <c r="A132" s="6"/>
      <c r="B132" s="23"/>
      <c r="C132" s="29"/>
      <c r="D132" s="28"/>
      <c r="E132" s="28"/>
      <c r="F132" s="28"/>
      <c r="G132" s="182"/>
      <c r="H132" s="183"/>
      <c r="I132" s="187"/>
      <c r="J132" s="53"/>
      <c r="K132" s="27"/>
      <c r="L132" s="219"/>
      <c r="M132" s="26"/>
      <c r="N132" s="28"/>
      <c r="O132" s="28"/>
      <c r="P132" s="175"/>
      <c r="Q132" s="178"/>
      <c r="R132" s="177"/>
    </row>
    <row r="133" spans="1:18" ht="15.95" customHeight="1">
      <c r="A133" s="6"/>
      <c r="B133" s="23"/>
      <c r="C133" s="28"/>
      <c r="D133" s="28"/>
      <c r="E133" s="28"/>
      <c r="F133" s="28"/>
      <c r="G133" s="182"/>
      <c r="H133" s="183"/>
      <c r="I133" s="184"/>
      <c r="J133" s="53"/>
      <c r="K133" s="29"/>
      <c r="L133" s="220"/>
      <c r="M133" s="26"/>
      <c r="N133" s="28"/>
      <c r="O133" s="28"/>
      <c r="P133" s="175"/>
      <c r="Q133" s="178"/>
      <c r="R133" s="177"/>
    </row>
    <row r="134" spans="1:18" ht="15.95" customHeight="1">
      <c r="A134" s="6"/>
      <c r="B134" s="23"/>
      <c r="C134" s="29"/>
      <c r="D134" s="28"/>
      <c r="E134" s="28"/>
      <c r="F134" s="28"/>
      <c r="G134" s="183"/>
      <c r="H134" s="183"/>
      <c r="I134" s="184"/>
      <c r="J134" s="53"/>
      <c r="K134" s="29"/>
      <c r="L134" s="220"/>
      <c r="M134" s="26"/>
      <c r="N134" s="28"/>
      <c r="O134" s="28"/>
      <c r="P134" s="175"/>
      <c r="Q134" s="178"/>
      <c r="R134" s="177"/>
    </row>
    <row r="135" spans="1:18" ht="20.100000000000001" customHeight="1">
      <c r="A135" s="6"/>
      <c r="B135" s="23"/>
      <c r="C135" s="20"/>
      <c r="D135" s="20"/>
      <c r="E135" s="20"/>
      <c r="F135" s="20"/>
      <c r="G135" s="175"/>
      <c r="H135" s="175"/>
      <c r="I135" s="176"/>
      <c r="J135" s="52"/>
      <c r="K135" s="30" t="s">
        <v>57</v>
      </c>
      <c r="L135" s="215"/>
      <c r="M135" s="216"/>
      <c r="N135" s="31"/>
      <c r="O135" s="31"/>
      <c r="P135" s="196">
        <f>SUM(P129:P134)</f>
        <v>0</v>
      </c>
      <c r="Q135" s="196">
        <f>P135</f>
        <v>0</v>
      </c>
      <c r="R135" s="196">
        <f>P135+Q135</f>
        <v>0</v>
      </c>
    </row>
    <row r="136" spans="1:18" ht="20.100000000000001" customHeight="1">
      <c r="A136" s="6"/>
      <c r="B136" s="23"/>
      <c r="C136" s="20"/>
      <c r="D136" s="20"/>
      <c r="E136" s="20"/>
      <c r="F136" s="20"/>
      <c r="G136" s="177">
        <f>SUM(G129:G135)</f>
        <v>0</v>
      </c>
      <c r="H136" s="177">
        <f>SUM(H129:H135)</f>
        <v>4643</v>
      </c>
      <c r="I136" s="186">
        <f>SUM(I129:I135)</f>
        <v>4643</v>
      </c>
      <c r="J136" s="52"/>
      <c r="K136" s="30" t="s">
        <v>29</v>
      </c>
      <c r="L136" s="215"/>
      <c r="M136" s="216"/>
      <c r="N136" s="31"/>
      <c r="O136" s="31"/>
      <c r="P136" s="197">
        <v>0</v>
      </c>
      <c r="Q136" s="197">
        <f>I129+I131-I134</f>
        <v>4643</v>
      </c>
      <c r="R136" s="197">
        <f>I136-R135</f>
        <v>4643</v>
      </c>
    </row>
    <row r="137" spans="1:18" ht="20.100000000000001" customHeight="1">
      <c r="A137" s="6"/>
      <c r="B137" s="23"/>
      <c r="C137" s="20"/>
      <c r="D137" s="20"/>
      <c r="E137" s="20"/>
      <c r="F137" s="20"/>
      <c r="G137" s="20"/>
      <c r="H137" s="20"/>
      <c r="I137" s="49"/>
      <c r="J137" s="52"/>
      <c r="K137" s="30" t="s">
        <v>30</v>
      </c>
      <c r="L137" s="215"/>
      <c r="M137" s="216"/>
      <c r="N137" s="31"/>
      <c r="O137" s="31"/>
      <c r="P137" s="199">
        <f>P135</f>
        <v>0</v>
      </c>
      <c r="Q137" s="199">
        <f>Q135+Q136</f>
        <v>4643</v>
      </c>
      <c r="R137" s="199">
        <f>R135+R136</f>
        <v>4643</v>
      </c>
    </row>
    <row r="138" spans="1:18" ht="63.6" customHeight="1">
      <c r="A138" s="6"/>
      <c r="B138" s="43"/>
      <c r="C138" s="43"/>
      <c r="D138" s="20"/>
      <c r="E138" s="20"/>
      <c r="F138" s="20"/>
      <c r="G138" s="20"/>
      <c r="H138" s="20"/>
      <c r="I138" s="49"/>
      <c r="J138" s="51"/>
      <c r="K138" s="20"/>
      <c r="L138" s="349"/>
      <c r="M138" s="350"/>
      <c r="N138" s="20"/>
      <c r="O138" s="20"/>
      <c r="P138" s="20"/>
      <c r="Q138" s="20"/>
      <c r="R138" s="20"/>
    </row>
    <row r="139" spans="1:18" ht="45" customHeight="1">
      <c r="A139" s="6"/>
      <c r="B139" s="37" t="s">
        <v>205</v>
      </c>
      <c r="C139" s="13" t="s">
        <v>16</v>
      </c>
      <c r="D139" s="20"/>
      <c r="E139" s="20"/>
      <c r="F139" s="20"/>
      <c r="G139" s="175">
        <v>0</v>
      </c>
      <c r="H139" s="175">
        <f>Q136</f>
        <v>4643</v>
      </c>
      <c r="I139" s="176">
        <f>G139+H139</f>
        <v>4643</v>
      </c>
      <c r="J139" s="51" t="str">
        <f>B139</f>
        <v>29/07/2025</v>
      </c>
      <c r="K139" s="27" t="s">
        <v>227</v>
      </c>
      <c r="L139" s="334" t="s">
        <v>223</v>
      </c>
      <c r="M139" s="335"/>
      <c r="N139" s="192" t="s">
        <v>224</v>
      </c>
      <c r="O139" s="20"/>
      <c r="P139" s="175">
        <v>0</v>
      </c>
      <c r="Q139" s="175">
        <v>1100</v>
      </c>
      <c r="R139" s="175">
        <f>Q139</f>
        <v>1100</v>
      </c>
    </row>
    <row r="140" spans="1:18" ht="15.95" customHeight="1">
      <c r="A140" s="6"/>
      <c r="B140" s="23"/>
      <c r="C140" s="20"/>
      <c r="D140" s="20"/>
      <c r="E140" s="20"/>
      <c r="F140" s="20"/>
      <c r="G140" s="175"/>
      <c r="H140" s="175"/>
      <c r="I140" s="176"/>
      <c r="J140" s="52"/>
      <c r="K140" s="222" t="s">
        <v>79</v>
      </c>
      <c r="L140" s="223"/>
      <c r="M140" s="211"/>
      <c r="N140" s="192"/>
      <c r="O140" s="20"/>
      <c r="P140" s="177"/>
      <c r="Q140" s="177"/>
      <c r="R140" s="177"/>
    </row>
    <row r="141" spans="1:18" ht="15.95" customHeight="1">
      <c r="A141" s="6"/>
      <c r="B141" s="23"/>
      <c r="C141" s="29"/>
      <c r="D141" s="20"/>
      <c r="E141" s="20"/>
      <c r="F141" s="20"/>
      <c r="G141" s="182"/>
      <c r="H141" s="183"/>
      <c r="I141" s="187"/>
      <c r="J141" s="52"/>
      <c r="K141" s="118" t="s">
        <v>221</v>
      </c>
      <c r="L141" s="221">
        <v>45717</v>
      </c>
      <c r="M141" s="224" t="s">
        <v>222</v>
      </c>
      <c r="N141" s="192"/>
      <c r="O141" s="20"/>
      <c r="P141" s="177">
        <v>1100</v>
      </c>
      <c r="Q141" s="177"/>
      <c r="R141" s="177">
        <f>P141</f>
        <v>1100</v>
      </c>
    </row>
    <row r="142" spans="1:18" ht="15.95" customHeight="1">
      <c r="A142" s="6"/>
      <c r="B142" s="23"/>
      <c r="C142" s="20"/>
      <c r="D142" s="20"/>
      <c r="E142" s="20"/>
      <c r="F142" s="20"/>
      <c r="G142" s="182"/>
      <c r="H142" s="183"/>
      <c r="I142" s="184"/>
      <c r="J142" s="52"/>
      <c r="K142" s="20"/>
      <c r="L142" s="49"/>
      <c r="M142" s="213"/>
      <c r="N142" s="20"/>
      <c r="O142" s="20"/>
      <c r="P142" s="175"/>
      <c r="Q142" s="178"/>
      <c r="R142" s="177"/>
    </row>
    <row r="143" spans="1:18" ht="15.95" customHeight="1">
      <c r="A143" s="6"/>
      <c r="B143" s="23"/>
      <c r="C143" s="20"/>
      <c r="D143" s="20"/>
      <c r="E143" s="20"/>
      <c r="F143" s="20"/>
      <c r="G143" s="182"/>
      <c r="H143" s="183"/>
      <c r="I143" s="184"/>
      <c r="J143" s="52"/>
      <c r="K143" s="20"/>
      <c r="L143" s="49"/>
      <c r="M143" s="213"/>
      <c r="N143" s="20"/>
      <c r="O143" s="20"/>
      <c r="P143" s="175"/>
      <c r="Q143" s="178"/>
      <c r="R143" s="177"/>
    </row>
    <row r="144" spans="1:18" ht="15.95" customHeight="1">
      <c r="A144" s="6"/>
      <c r="B144" s="23"/>
      <c r="C144" s="195" t="s">
        <v>142</v>
      </c>
      <c r="D144" s="28"/>
      <c r="E144" s="28"/>
      <c r="F144" s="182"/>
      <c r="G144" s="185">
        <v>1100</v>
      </c>
      <c r="H144" s="193">
        <v>0</v>
      </c>
      <c r="I144" s="194">
        <f>G144</f>
        <v>1100</v>
      </c>
      <c r="J144" s="52"/>
      <c r="K144" s="20"/>
      <c r="L144" s="49"/>
      <c r="M144" s="213"/>
      <c r="N144" s="20"/>
      <c r="O144" s="20"/>
      <c r="P144" s="175"/>
      <c r="Q144" s="178"/>
      <c r="R144" s="177"/>
    </row>
    <row r="145" spans="1:18" ht="20.100000000000001" customHeight="1">
      <c r="A145" s="6"/>
      <c r="B145" s="23"/>
      <c r="C145" s="20"/>
      <c r="D145" s="20"/>
      <c r="E145" s="20"/>
      <c r="F145" s="20"/>
      <c r="G145" s="175"/>
      <c r="H145" s="175"/>
      <c r="I145" s="176"/>
      <c r="J145" s="52"/>
      <c r="K145" s="30" t="s">
        <v>57</v>
      </c>
      <c r="L145" s="215"/>
      <c r="M145" s="213"/>
      <c r="N145" s="20"/>
      <c r="O145" s="20"/>
      <c r="P145" s="196">
        <f>SUM(P139:P144)</f>
        <v>1100</v>
      </c>
      <c r="Q145" s="196">
        <f>P145</f>
        <v>1100</v>
      </c>
      <c r="R145" s="196">
        <f>P145+Q145</f>
        <v>2200</v>
      </c>
    </row>
    <row r="146" spans="1:18" ht="20.100000000000001" customHeight="1">
      <c r="A146" s="6"/>
      <c r="B146" s="23"/>
      <c r="C146" s="20"/>
      <c r="D146" s="20"/>
      <c r="E146" s="20"/>
      <c r="F146" s="20"/>
      <c r="G146" s="177">
        <f>SUM(G139:G145)</f>
        <v>1100</v>
      </c>
      <c r="H146" s="177">
        <f>SUM(H139:H145)</f>
        <v>4643</v>
      </c>
      <c r="I146" s="186">
        <f>SUM(I139:I145)</f>
        <v>5743</v>
      </c>
      <c r="J146" s="52"/>
      <c r="K146" s="30" t="s">
        <v>29</v>
      </c>
      <c r="L146" s="215"/>
      <c r="M146" s="213"/>
      <c r="N146" s="20"/>
      <c r="O146" s="20"/>
      <c r="P146" s="198">
        <v>0</v>
      </c>
      <c r="Q146" s="198">
        <f>I139+I141-I144</f>
        <v>3543</v>
      </c>
      <c r="R146" s="198">
        <f>I146-R145</f>
        <v>3543</v>
      </c>
    </row>
    <row r="147" spans="1:18" ht="20.100000000000001" customHeight="1">
      <c r="A147" s="6"/>
      <c r="B147" s="23"/>
      <c r="C147" s="20"/>
      <c r="D147" s="20"/>
      <c r="E147" s="20"/>
      <c r="F147" s="20"/>
      <c r="G147" s="20"/>
      <c r="H147" s="20"/>
      <c r="I147" s="49"/>
      <c r="J147" s="52"/>
      <c r="K147" s="30" t="s">
        <v>30</v>
      </c>
      <c r="L147" s="215"/>
      <c r="M147" s="213"/>
      <c r="N147" s="20"/>
      <c r="O147" s="20"/>
      <c r="P147" s="199">
        <f>P145</f>
        <v>1100</v>
      </c>
      <c r="Q147" s="199">
        <f>Q145+Q146</f>
        <v>4643</v>
      </c>
      <c r="R147" s="199">
        <f>R145+R146</f>
        <v>5743</v>
      </c>
    </row>
    <row r="148" spans="1:18" ht="48" customHeight="1">
      <c r="A148" s="6"/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6"/>
      <c r="P148" s="336"/>
      <c r="Q148" s="336"/>
      <c r="R148" s="336"/>
    </row>
    <row r="149" spans="1:18" ht="42.6" customHeight="1">
      <c r="A149" s="6">
        <f ca="1">A149:R170</f>
        <v>0</v>
      </c>
      <c r="B149" s="340" t="s">
        <v>139</v>
      </c>
      <c r="C149" s="341"/>
      <c r="D149" s="341"/>
      <c r="E149" s="341"/>
      <c r="F149" s="341"/>
      <c r="G149" s="341"/>
      <c r="H149" s="341"/>
      <c r="I149" s="341"/>
      <c r="J149" s="341"/>
      <c r="K149" s="341"/>
      <c r="L149" s="341"/>
      <c r="M149" s="341"/>
      <c r="N149" s="341"/>
      <c r="O149" s="341"/>
      <c r="P149" s="341"/>
      <c r="Q149" s="341"/>
      <c r="R149" s="341"/>
    </row>
    <row r="150" spans="1:18" ht="43.5" customHeight="1">
      <c r="A150" s="6"/>
      <c r="B150" s="342"/>
      <c r="C150" s="343"/>
      <c r="D150" s="343"/>
      <c r="E150" s="343"/>
      <c r="F150" s="343"/>
      <c r="G150" s="343"/>
      <c r="H150" s="343"/>
      <c r="I150" s="344"/>
      <c r="J150" s="345"/>
      <c r="K150" s="345"/>
      <c r="L150" s="345"/>
      <c r="M150" s="345"/>
      <c r="N150" s="345"/>
      <c r="O150" s="345"/>
      <c r="P150" s="345"/>
      <c r="Q150" s="345"/>
      <c r="R150" s="346"/>
    </row>
    <row r="151" spans="1:18" ht="66" customHeight="1">
      <c r="A151" s="6"/>
      <c r="B151" s="15" t="s">
        <v>9</v>
      </c>
      <c r="C151" s="15" t="s">
        <v>19</v>
      </c>
      <c r="D151" s="16" t="s">
        <v>20</v>
      </c>
      <c r="E151" s="16" t="s">
        <v>21</v>
      </c>
      <c r="F151" s="16" t="s">
        <v>22</v>
      </c>
      <c r="G151" s="15" t="s">
        <v>23</v>
      </c>
      <c r="H151" s="15" t="s">
        <v>24</v>
      </c>
      <c r="I151" s="48" t="s">
        <v>25</v>
      </c>
      <c r="J151" s="50" t="s">
        <v>9</v>
      </c>
      <c r="K151" s="15" t="s">
        <v>56</v>
      </c>
      <c r="L151" s="347" t="s">
        <v>26</v>
      </c>
      <c r="M151" s="348"/>
      <c r="N151" s="16" t="s">
        <v>27</v>
      </c>
      <c r="O151" s="16" t="s">
        <v>22</v>
      </c>
      <c r="P151" s="15" t="s">
        <v>23</v>
      </c>
      <c r="Q151" s="15" t="s">
        <v>24</v>
      </c>
      <c r="R151" s="15" t="s">
        <v>25</v>
      </c>
    </row>
    <row r="152" spans="1:18" ht="45" customHeight="1">
      <c r="A152" s="6"/>
      <c r="B152" s="37">
        <v>45785</v>
      </c>
      <c r="C152" s="13" t="s">
        <v>16</v>
      </c>
      <c r="D152" s="20"/>
      <c r="E152" s="20"/>
      <c r="F152" s="20"/>
      <c r="G152" s="175">
        <v>0</v>
      </c>
      <c r="H152" s="175">
        <f>Q146</f>
        <v>3543</v>
      </c>
      <c r="I152" s="176">
        <f>G152+H152</f>
        <v>3543</v>
      </c>
      <c r="J152" s="51">
        <f>B152</f>
        <v>45785</v>
      </c>
      <c r="K152" s="40" t="s">
        <v>28</v>
      </c>
      <c r="L152" s="351"/>
      <c r="M152" s="352"/>
      <c r="N152" s="20"/>
      <c r="O152" s="20"/>
      <c r="P152" s="175">
        <v>0</v>
      </c>
      <c r="Q152" s="175">
        <v>0</v>
      </c>
      <c r="R152" s="175">
        <f>Q152</f>
        <v>0</v>
      </c>
    </row>
    <row r="153" spans="1:18" ht="15.95" customHeight="1">
      <c r="A153" s="6"/>
      <c r="B153" s="23"/>
      <c r="C153" s="20"/>
      <c r="D153" s="20"/>
      <c r="E153" s="20"/>
      <c r="F153" s="20"/>
      <c r="G153" s="175"/>
      <c r="H153" s="175"/>
      <c r="I153" s="176"/>
      <c r="J153" s="52"/>
      <c r="K153" s="20"/>
      <c r="L153" s="49"/>
      <c r="M153" s="213"/>
      <c r="N153" s="20"/>
      <c r="O153" s="20"/>
      <c r="P153" s="175"/>
      <c r="Q153" s="175"/>
      <c r="R153" s="177"/>
    </row>
    <row r="154" spans="1:18" ht="15.95" customHeight="1">
      <c r="A154" s="6"/>
      <c r="B154" s="23"/>
      <c r="C154" s="42" t="s">
        <v>58</v>
      </c>
      <c r="D154" s="25"/>
      <c r="E154" s="25"/>
      <c r="F154" s="25"/>
      <c r="G154" s="179"/>
      <c r="H154" s="180">
        <v>52</v>
      </c>
      <c r="I154" s="181">
        <f>H154</f>
        <v>52</v>
      </c>
      <c r="J154" s="53"/>
      <c r="K154" s="27"/>
      <c r="L154" s="219"/>
      <c r="M154" s="26"/>
      <c r="N154" s="28"/>
      <c r="O154" s="28"/>
      <c r="P154" s="175"/>
      <c r="Q154" s="178"/>
      <c r="R154" s="177"/>
    </row>
    <row r="155" spans="1:18" ht="15.95" customHeight="1">
      <c r="A155" s="6"/>
      <c r="B155" s="23"/>
      <c r="C155" s="29"/>
      <c r="D155" s="28"/>
      <c r="E155" s="28"/>
      <c r="F155" s="28"/>
      <c r="G155" s="182"/>
      <c r="H155" s="183"/>
      <c r="I155" s="187"/>
      <c r="J155" s="53"/>
      <c r="K155" s="27"/>
      <c r="L155" s="219"/>
      <c r="M155" s="26"/>
      <c r="N155" s="28"/>
      <c r="O155" s="28"/>
      <c r="P155" s="175"/>
      <c r="Q155" s="178"/>
      <c r="R155" s="177"/>
    </row>
    <row r="156" spans="1:18" ht="15.95" customHeight="1">
      <c r="A156" s="6"/>
      <c r="B156" s="23"/>
      <c r="C156" s="28"/>
      <c r="D156" s="28"/>
      <c r="E156" s="28"/>
      <c r="F156" s="28"/>
      <c r="G156" s="182"/>
      <c r="H156" s="183"/>
      <c r="I156" s="184"/>
      <c r="J156" s="53"/>
      <c r="K156" s="29"/>
      <c r="L156" s="220"/>
      <c r="M156" s="26"/>
      <c r="N156" s="28"/>
      <c r="O156" s="28"/>
      <c r="P156" s="175"/>
      <c r="Q156" s="178"/>
      <c r="R156" s="177"/>
    </row>
    <row r="157" spans="1:18" ht="15.95" customHeight="1">
      <c r="A157" s="6"/>
      <c r="B157" s="23"/>
      <c r="C157" s="29"/>
      <c r="D157" s="28"/>
      <c r="E157" s="28"/>
      <c r="F157" s="28"/>
      <c r="G157" s="183"/>
      <c r="H157" s="183"/>
      <c r="I157" s="184"/>
      <c r="J157" s="53"/>
      <c r="K157" s="29"/>
      <c r="L157" s="220"/>
      <c r="M157" s="26"/>
      <c r="N157" s="28"/>
      <c r="O157" s="28"/>
      <c r="P157" s="175"/>
      <c r="Q157" s="178"/>
      <c r="R157" s="177"/>
    </row>
    <row r="158" spans="1:18" ht="20.100000000000001" customHeight="1">
      <c r="A158" s="6"/>
      <c r="B158" s="23"/>
      <c r="C158" s="20"/>
      <c r="D158" s="20"/>
      <c r="E158" s="20"/>
      <c r="F158" s="20"/>
      <c r="G158" s="175"/>
      <c r="H158" s="175"/>
      <c r="I158" s="176"/>
      <c r="J158" s="52"/>
      <c r="K158" s="30" t="s">
        <v>57</v>
      </c>
      <c r="L158" s="215"/>
      <c r="M158" s="216"/>
      <c r="N158" s="31"/>
      <c r="O158" s="31"/>
      <c r="P158" s="196">
        <f>SUM(P152:P157)</f>
        <v>0</v>
      </c>
      <c r="Q158" s="196">
        <f>P158</f>
        <v>0</v>
      </c>
      <c r="R158" s="196">
        <f>P158+Q158</f>
        <v>0</v>
      </c>
    </row>
    <row r="159" spans="1:18" ht="20.100000000000001" customHeight="1">
      <c r="A159" s="6"/>
      <c r="B159" s="23"/>
      <c r="C159" s="20"/>
      <c r="D159" s="20"/>
      <c r="E159" s="20"/>
      <c r="F159" s="20"/>
      <c r="G159" s="177">
        <f>SUM(G152:G158)</f>
        <v>0</v>
      </c>
      <c r="H159" s="177">
        <f>SUM(H152:H158)</f>
        <v>3595</v>
      </c>
      <c r="I159" s="186">
        <f>SUM(I152:I158)</f>
        <v>3595</v>
      </c>
      <c r="J159" s="52"/>
      <c r="K159" s="30" t="s">
        <v>29</v>
      </c>
      <c r="L159" s="215"/>
      <c r="M159" s="216"/>
      <c r="N159" s="31"/>
      <c r="O159" s="31"/>
      <c r="P159" s="197">
        <v>0</v>
      </c>
      <c r="Q159" s="197">
        <f>I152+I154-I157</f>
        <v>3595</v>
      </c>
      <c r="R159" s="197">
        <f>I159-R158</f>
        <v>3595</v>
      </c>
    </row>
    <row r="160" spans="1:18" ht="20.100000000000001" customHeight="1">
      <c r="A160" s="6"/>
      <c r="B160" s="23"/>
      <c r="C160" s="20"/>
      <c r="D160" s="20"/>
      <c r="E160" s="20"/>
      <c r="F160" s="20"/>
      <c r="G160" s="20"/>
      <c r="H160" s="20"/>
      <c r="I160" s="49"/>
      <c r="J160" s="52"/>
      <c r="K160" s="30" t="s">
        <v>30</v>
      </c>
      <c r="L160" s="215"/>
      <c r="M160" s="216"/>
      <c r="N160" s="31"/>
      <c r="O160" s="31"/>
      <c r="P160" s="199">
        <f>P158</f>
        <v>0</v>
      </c>
      <c r="Q160" s="199">
        <f>Q158+Q159</f>
        <v>3595</v>
      </c>
      <c r="R160" s="199">
        <f>R158+R159</f>
        <v>3595</v>
      </c>
    </row>
    <row r="161" spans="1:18" ht="63.6" customHeight="1">
      <c r="A161" s="6"/>
      <c r="B161" s="43"/>
      <c r="C161" s="43"/>
      <c r="D161" s="20"/>
      <c r="E161" s="20"/>
      <c r="F161" s="20"/>
      <c r="G161" s="20"/>
      <c r="H161" s="20"/>
      <c r="I161" s="49"/>
      <c r="J161" s="51"/>
      <c r="K161" s="20"/>
      <c r="L161" s="349"/>
      <c r="M161" s="350"/>
      <c r="N161" s="20"/>
      <c r="O161" s="20"/>
      <c r="P161" s="20"/>
      <c r="Q161" s="20"/>
      <c r="R161" s="20"/>
    </row>
    <row r="162" spans="1:18" ht="45" customHeight="1">
      <c r="A162" s="6"/>
      <c r="B162" s="37" t="s">
        <v>193</v>
      </c>
      <c r="C162" s="13" t="s">
        <v>16</v>
      </c>
      <c r="D162" s="20"/>
      <c r="E162" s="20"/>
      <c r="F162" s="20"/>
      <c r="G162" s="175">
        <v>0</v>
      </c>
      <c r="H162" s="175">
        <f>Q159</f>
        <v>3595</v>
      </c>
      <c r="I162" s="176">
        <f>G162+H162</f>
        <v>3595</v>
      </c>
      <c r="J162" s="51" t="str">
        <f>B162</f>
        <v>13/08/2025</v>
      </c>
      <c r="K162" s="40" t="s">
        <v>28</v>
      </c>
      <c r="L162" s="351"/>
      <c r="M162" s="352"/>
      <c r="N162" s="20"/>
      <c r="O162" s="20"/>
      <c r="P162" s="175">
        <v>0</v>
      </c>
      <c r="Q162" s="175">
        <v>0</v>
      </c>
      <c r="R162" s="175">
        <v>0</v>
      </c>
    </row>
    <row r="163" spans="1:18" ht="15.95" customHeight="1">
      <c r="A163" s="6"/>
      <c r="B163" s="23"/>
      <c r="C163" s="20"/>
      <c r="D163" s="20"/>
      <c r="E163" s="20"/>
      <c r="F163" s="20"/>
      <c r="G163" s="175"/>
      <c r="H163" s="175"/>
      <c r="I163" s="176"/>
      <c r="J163" s="52"/>
      <c r="K163" s="20"/>
      <c r="L163" s="49"/>
      <c r="M163" s="213"/>
      <c r="N163" s="20"/>
      <c r="O163" s="20"/>
      <c r="P163" s="175"/>
      <c r="Q163" s="175"/>
      <c r="R163" s="177"/>
    </row>
    <row r="164" spans="1:18" ht="15.95" customHeight="1">
      <c r="A164" s="6"/>
      <c r="B164" s="23"/>
      <c r="C164" s="42" t="s">
        <v>225</v>
      </c>
      <c r="D164" s="25"/>
      <c r="E164" s="25"/>
      <c r="F164" s="25"/>
      <c r="G164" s="179"/>
      <c r="H164" s="180">
        <v>1200</v>
      </c>
      <c r="I164" s="181">
        <f>H164</f>
        <v>1200</v>
      </c>
      <c r="J164" s="52"/>
      <c r="K164" s="20"/>
      <c r="L164" s="49"/>
      <c r="M164" s="213"/>
      <c r="N164" s="20"/>
      <c r="O164" s="20"/>
      <c r="P164" s="175"/>
      <c r="Q164" s="178"/>
      <c r="R164" s="177"/>
    </row>
    <row r="165" spans="1:18" ht="15.95" customHeight="1">
      <c r="A165" s="6"/>
      <c r="B165" s="23"/>
      <c r="C165" s="20"/>
      <c r="D165" s="20"/>
      <c r="E165" s="20"/>
      <c r="F165" s="20"/>
      <c r="G165" s="182"/>
      <c r="H165" s="183"/>
      <c r="I165" s="184"/>
      <c r="J165" s="52"/>
      <c r="K165" s="20"/>
      <c r="L165" s="49"/>
      <c r="M165" s="213"/>
      <c r="N165" s="20"/>
      <c r="O165" s="20"/>
      <c r="P165" s="175"/>
      <c r="Q165" s="178"/>
      <c r="R165" s="177"/>
    </row>
    <row r="166" spans="1:18" ht="15.95" customHeight="1">
      <c r="A166" s="6"/>
      <c r="B166" s="23"/>
      <c r="C166" s="20"/>
      <c r="D166" s="20"/>
      <c r="E166" s="20"/>
      <c r="F166" s="20"/>
      <c r="G166" s="182"/>
      <c r="H166" s="183"/>
      <c r="I166" s="184"/>
      <c r="J166" s="52"/>
      <c r="K166" s="20"/>
      <c r="L166" s="49"/>
      <c r="M166" s="213"/>
      <c r="N166" s="20"/>
      <c r="O166" s="20"/>
      <c r="P166" s="175"/>
      <c r="Q166" s="178"/>
      <c r="R166" s="177"/>
    </row>
    <row r="167" spans="1:18" ht="15.95" customHeight="1">
      <c r="A167" s="6"/>
      <c r="B167" s="23"/>
      <c r="C167" s="20"/>
      <c r="D167" s="20"/>
      <c r="E167" s="20"/>
      <c r="F167" s="20"/>
      <c r="G167" s="183"/>
      <c r="H167" s="183"/>
      <c r="I167" s="184"/>
      <c r="J167" s="52"/>
      <c r="K167" s="20"/>
      <c r="L167" s="49"/>
      <c r="M167" s="213"/>
      <c r="N167" s="20"/>
      <c r="O167" s="20"/>
      <c r="P167" s="175"/>
      <c r="Q167" s="178"/>
      <c r="R167" s="177"/>
    </row>
    <row r="168" spans="1:18" ht="20.100000000000001" customHeight="1">
      <c r="A168" s="6"/>
      <c r="B168" s="23"/>
      <c r="C168" s="20"/>
      <c r="D168" s="20"/>
      <c r="E168" s="20"/>
      <c r="F168" s="20"/>
      <c r="G168" s="175"/>
      <c r="H168" s="175"/>
      <c r="I168" s="176"/>
      <c r="J168" s="52"/>
      <c r="K168" s="30" t="s">
        <v>57</v>
      </c>
      <c r="L168" s="215"/>
      <c r="M168" s="213"/>
      <c r="N168" s="20"/>
      <c r="O168" s="20"/>
      <c r="P168" s="196">
        <f>SUM(P162:P167)</f>
        <v>0</v>
      </c>
      <c r="Q168" s="196">
        <f>P168</f>
        <v>0</v>
      </c>
      <c r="R168" s="196">
        <f>P168+Q168</f>
        <v>0</v>
      </c>
    </row>
    <row r="169" spans="1:18" ht="20.100000000000001" customHeight="1">
      <c r="A169" s="6"/>
      <c r="B169" s="23"/>
      <c r="C169" s="20"/>
      <c r="D169" s="20"/>
      <c r="E169" s="20"/>
      <c r="F169" s="20"/>
      <c r="G169" s="177">
        <f>SUM(G162:G168)</f>
        <v>0</v>
      </c>
      <c r="H169" s="177">
        <f>SUM(H162:H168)</f>
        <v>4795</v>
      </c>
      <c r="I169" s="186">
        <f>SUM(I162:I168)</f>
        <v>4795</v>
      </c>
      <c r="J169" s="52"/>
      <c r="K169" s="30" t="s">
        <v>29</v>
      </c>
      <c r="L169" s="215"/>
      <c r="M169" s="213"/>
      <c r="N169" s="20"/>
      <c r="O169" s="20"/>
      <c r="P169" s="198">
        <v>0</v>
      </c>
      <c r="Q169" s="198">
        <f>I162+I164-I167</f>
        <v>4795</v>
      </c>
      <c r="R169" s="198">
        <f>I169-R168</f>
        <v>4795</v>
      </c>
    </row>
    <row r="170" spans="1:18" ht="20.100000000000001" customHeight="1">
      <c r="A170" s="6"/>
      <c r="B170" s="23"/>
      <c r="C170" s="20"/>
      <c r="D170" s="20"/>
      <c r="E170" s="20"/>
      <c r="F170" s="20"/>
      <c r="G170" s="20"/>
      <c r="H170" s="20"/>
      <c r="I170" s="49"/>
      <c r="J170" s="52"/>
      <c r="K170" s="30" t="s">
        <v>30</v>
      </c>
      <c r="L170" s="215"/>
      <c r="M170" s="213"/>
      <c r="N170" s="20"/>
      <c r="O170" s="20"/>
      <c r="P170" s="199">
        <f>P168</f>
        <v>0</v>
      </c>
      <c r="Q170" s="199">
        <f>Q168+Q169</f>
        <v>4795</v>
      </c>
      <c r="R170" s="199">
        <f>R168+R169</f>
        <v>4795</v>
      </c>
    </row>
    <row r="171" spans="1:18" ht="48" customHeight="1">
      <c r="A171" s="6"/>
      <c r="B171" s="336"/>
      <c r="C171" s="336"/>
      <c r="D171" s="336"/>
      <c r="E171" s="336"/>
      <c r="F171" s="336"/>
      <c r="G171" s="336"/>
      <c r="H171" s="336"/>
      <c r="I171" s="336"/>
      <c r="J171" s="336"/>
      <c r="K171" s="336"/>
      <c r="L171" s="336"/>
      <c r="M171" s="336"/>
      <c r="N171" s="336"/>
      <c r="O171" s="336"/>
      <c r="P171" s="336"/>
      <c r="Q171" s="336"/>
      <c r="R171" s="336"/>
    </row>
    <row r="172" spans="1:18" ht="42.6" customHeight="1">
      <c r="A172" s="6">
        <f ca="1">A172:R193</f>
        <v>0</v>
      </c>
      <c r="B172" s="340" t="s">
        <v>139</v>
      </c>
      <c r="C172" s="341"/>
      <c r="D172" s="341"/>
      <c r="E172" s="341"/>
      <c r="F172" s="341"/>
      <c r="G172" s="341"/>
      <c r="H172" s="341"/>
      <c r="I172" s="341"/>
      <c r="J172" s="341"/>
      <c r="K172" s="341"/>
      <c r="L172" s="341"/>
      <c r="M172" s="341"/>
      <c r="N172" s="341"/>
      <c r="O172" s="341"/>
      <c r="P172" s="341"/>
      <c r="Q172" s="341"/>
      <c r="R172" s="341"/>
    </row>
    <row r="173" spans="1:18" ht="43.5" customHeight="1">
      <c r="A173" s="6"/>
      <c r="B173" s="342"/>
      <c r="C173" s="343"/>
      <c r="D173" s="343"/>
      <c r="E173" s="343"/>
      <c r="F173" s="343"/>
      <c r="G173" s="343"/>
      <c r="H173" s="343"/>
      <c r="I173" s="344"/>
      <c r="J173" s="345"/>
      <c r="K173" s="345"/>
      <c r="L173" s="345"/>
      <c r="M173" s="345"/>
      <c r="N173" s="345"/>
      <c r="O173" s="345"/>
      <c r="P173" s="345"/>
      <c r="Q173" s="345"/>
      <c r="R173" s="346"/>
    </row>
    <row r="174" spans="1:18" ht="66" customHeight="1">
      <c r="A174" s="6"/>
      <c r="B174" s="15" t="s">
        <v>9</v>
      </c>
      <c r="C174" s="15" t="s">
        <v>19</v>
      </c>
      <c r="D174" s="16" t="s">
        <v>20</v>
      </c>
      <c r="E174" s="16" t="s">
        <v>21</v>
      </c>
      <c r="F174" s="16" t="s">
        <v>22</v>
      </c>
      <c r="G174" s="15" t="s">
        <v>23</v>
      </c>
      <c r="H174" s="15" t="s">
        <v>24</v>
      </c>
      <c r="I174" s="48" t="s">
        <v>25</v>
      </c>
      <c r="J174" s="50" t="s">
        <v>9</v>
      </c>
      <c r="K174" s="15" t="s">
        <v>56</v>
      </c>
      <c r="L174" s="347" t="s">
        <v>26</v>
      </c>
      <c r="M174" s="348"/>
      <c r="N174" s="16" t="s">
        <v>27</v>
      </c>
      <c r="O174" s="16" t="s">
        <v>22</v>
      </c>
      <c r="P174" s="15" t="s">
        <v>23</v>
      </c>
      <c r="Q174" s="15" t="s">
        <v>24</v>
      </c>
      <c r="R174" s="15" t="s">
        <v>25</v>
      </c>
    </row>
    <row r="175" spans="1:18" ht="45" customHeight="1">
      <c r="A175" s="6"/>
      <c r="B175" s="37">
        <v>45699</v>
      </c>
      <c r="C175" s="13" t="s">
        <v>16</v>
      </c>
      <c r="D175" s="20"/>
      <c r="E175" s="20"/>
      <c r="F175" s="20"/>
      <c r="G175" s="175">
        <v>0</v>
      </c>
      <c r="H175" s="175">
        <f>Q169</f>
        <v>4795</v>
      </c>
      <c r="I175" s="176">
        <f>G175+H175</f>
        <v>4795</v>
      </c>
      <c r="J175" s="51">
        <f>B175</f>
        <v>45699</v>
      </c>
      <c r="K175" s="40" t="s">
        <v>28</v>
      </c>
      <c r="L175" s="351"/>
      <c r="M175" s="352"/>
      <c r="N175" s="20"/>
      <c r="O175" s="20"/>
      <c r="P175" s="175">
        <v>0</v>
      </c>
      <c r="Q175" s="175">
        <v>0</v>
      </c>
      <c r="R175" s="175">
        <f>Q175</f>
        <v>0</v>
      </c>
    </row>
    <row r="176" spans="1:18" ht="15.95" customHeight="1">
      <c r="A176" s="6"/>
      <c r="B176" s="23"/>
      <c r="C176" s="20"/>
      <c r="D176" s="20"/>
      <c r="E176" s="20"/>
      <c r="F176" s="20"/>
      <c r="G176" s="175"/>
      <c r="H176" s="175"/>
      <c r="I176" s="176"/>
      <c r="J176" s="52"/>
      <c r="K176" s="20"/>
      <c r="L176" s="49"/>
      <c r="M176" s="213"/>
      <c r="N176" s="20"/>
      <c r="O176" s="20"/>
      <c r="P176" s="175"/>
      <c r="Q176" s="175"/>
      <c r="R176" s="177"/>
    </row>
    <row r="177" spans="1:18" ht="15.95" customHeight="1">
      <c r="A177" s="6"/>
      <c r="B177" s="23"/>
      <c r="C177" s="42" t="s">
        <v>58</v>
      </c>
      <c r="D177" s="25"/>
      <c r="E177" s="25"/>
      <c r="F177" s="25"/>
      <c r="G177" s="179"/>
      <c r="H177" s="180">
        <v>29</v>
      </c>
      <c r="I177" s="181">
        <f>H177</f>
        <v>29</v>
      </c>
      <c r="J177" s="53"/>
      <c r="K177" s="27"/>
      <c r="L177" s="219"/>
      <c r="M177" s="26"/>
      <c r="N177" s="28"/>
      <c r="O177" s="28"/>
      <c r="P177" s="175"/>
      <c r="Q177" s="178"/>
      <c r="R177" s="177"/>
    </row>
    <row r="178" spans="1:18" ht="15.95" customHeight="1">
      <c r="A178" s="6"/>
      <c r="B178" s="23"/>
      <c r="C178" s="29"/>
      <c r="D178" s="28"/>
      <c r="E178" s="28"/>
      <c r="F178" s="28"/>
      <c r="G178" s="182"/>
      <c r="H178" s="183"/>
      <c r="I178" s="187"/>
      <c r="J178" s="53"/>
      <c r="K178" s="27"/>
      <c r="L178" s="219"/>
      <c r="M178" s="26"/>
      <c r="N178" s="28"/>
      <c r="O178" s="28"/>
      <c r="P178" s="175"/>
      <c r="Q178" s="178"/>
      <c r="R178" s="177"/>
    </row>
    <row r="179" spans="1:18" ht="15.95" customHeight="1">
      <c r="A179" s="6"/>
      <c r="B179" s="23"/>
      <c r="C179" s="28"/>
      <c r="D179" s="28"/>
      <c r="E179" s="28"/>
      <c r="F179" s="28"/>
      <c r="G179" s="182"/>
      <c r="H179" s="183"/>
      <c r="I179" s="184"/>
      <c r="J179" s="53"/>
      <c r="K179" s="29"/>
      <c r="L179" s="220"/>
      <c r="M179" s="26"/>
      <c r="N179" s="28"/>
      <c r="O179" s="28"/>
      <c r="P179" s="175"/>
      <c r="Q179" s="178"/>
      <c r="R179" s="177"/>
    </row>
    <row r="180" spans="1:18" ht="15.95" customHeight="1">
      <c r="A180" s="6"/>
      <c r="B180" s="23"/>
      <c r="C180" s="29"/>
      <c r="D180" s="28"/>
      <c r="E180" s="28"/>
      <c r="F180" s="28"/>
      <c r="G180" s="183"/>
      <c r="H180" s="183"/>
      <c r="I180" s="184"/>
      <c r="J180" s="53"/>
      <c r="K180" s="29"/>
      <c r="L180" s="220"/>
      <c r="M180" s="26"/>
      <c r="N180" s="28"/>
      <c r="O180" s="28"/>
      <c r="P180" s="175"/>
      <c r="Q180" s="178"/>
      <c r="R180" s="177"/>
    </row>
    <row r="181" spans="1:18" ht="20.100000000000001" customHeight="1">
      <c r="A181" s="6"/>
      <c r="B181" s="23"/>
      <c r="C181" s="20"/>
      <c r="D181" s="20"/>
      <c r="E181" s="20"/>
      <c r="F181" s="20"/>
      <c r="G181" s="175"/>
      <c r="H181" s="175"/>
      <c r="I181" s="176"/>
      <c r="J181" s="52"/>
      <c r="K181" s="30" t="s">
        <v>57</v>
      </c>
      <c r="L181" s="215"/>
      <c r="M181" s="216"/>
      <c r="N181" s="31"/>
      <c r="O181" s="31"/>
      <c r="P181" s="196">
        <f>SUM(P175:P180)</f>
        <v>0</v>
      </c>
      <c r="Q181" s="196">
        <f>P181</f>
        <v>0</v>
      </c>
      <c r="R181" s="196">
        <f>P181+Q181</f>
        <v>0</v>
      </c>
    </row>
    <row r="182" spans="1:18" ht="20.100000000000001" customHeight="1">
      <c r="A182" s="6"/>
      <c r="B182" s="23"/>
      <c r="C182" s="20"/>
      <c r="D182" s="20"/>
      <c r="E182" s="20"/>
      <c r="F182" s="20"/>
      <c r="G182" s="177">
        <f>SUM(G175:G181)</f>
        <v>0</v>
      </c>
      <c r="H182" s="177">
        <f>SUM(H175:H181)</f>
        <v>4824</v>
      </c>
      <c r="I182" s="186">
        <f>SUM(I175:I181)</f>
        <v>4824</v>
      </c>
      <c r="J182" s="52"/>
      <c r="K182" s="30" t="s">
        <v>29</v>
      </c>
      <c r="L182" s="215"/>
      <c r="M182" s="216"/>
      <c r="N182" s="31"/>
      <c r="O182" s="31"/>
      <c r="P182" s="197">
        <v>0</v>
      </c>
      <c r="Q182" s="197">
        <f>I175+I177-I180</f>
        <v>4824</v>
      </c>
      <c r="R182" s="197">
        <f>I182-R181</f>
        <v>4824</v>
      </c>
    </row>
    <row r="183" spans="1:18" ht="20.100000000000001" customHeight="1">
      <c r="A183" s="6"/>
      <c r="B183" s="23"/>
      <c r="C183" s="20"/>
      <c r="D183" s="20"/>
      <c r="E183" s="20"/>
      <c r="F183" s="20"/>
      <c r="G183" s="20"/>
      <c r="H183" s="20"/>
      <c r="I183" s="49"/>
      <c r="J183" s="52"/>
      <c r="K183" s="30" t="s">
        <v>30</v>
      </c>
      <c r="L183" s="215"/>
      <c r="M183" s="216"/>
      <c r="N183" s="31"/>
      <c r="O183" s="31"/>
      <c r="P183" s="199">
        <f>P181</f>
        <v>0</v>
      </c>
      <c r="Q183" s="199">
        <f>Q181+Q182</f>
        <v>4824</v>
      </c>
      <c r="R183" s="199">
        <f>R181+R182</f>
        <v>4824</v>
      </c>
    </row>
    <row r="184" spans="1:18" ht="63.6" customHeight="1">
      <c r="A184" s="6"/>
      <c r="B184" s="43"/>
      <c r="C184" s="43"/>
      <c r="D184" s="20"/>
      <c r="E184" s="20"/>
      <c r="F184" s="20"/>
      <c r="G184" s="20"/>
      <c r="H184" s="20"/>
      <c r="I184" s="49"/>
      <c r="J184" s="51"/>
      <c r="K184" s="20"/>
      <c r="L184" s="349"/>
      <c r="M184" s="350"/>
      <c r="N184" s="20"/>
      <c r="O184" s="20"/>
      <c r="P184" s="20"/>
      <c r="Q184" s="20"/>
      <c r="R184" s="20"/>
    </row>
    <row r="185" spans="1:18" ht="45" customHeight="1">
      <c r="A185" s="6"/>
      <c r="B185" s="37" t="s">
        <v>226</v>
      </c>
      <c r="C185" s="13" t="s">
        <v>16</v>
      </c>
      <c r="D185" s="20"/>
      <c r="E185" s="20"/>
      <c r="F185" s="20"/>
      <c r="G185" s="175">
        <v>0</v>
      </c>
      <c r="H185" s="175">
        <f>Q182</f>
        <v>4824</v>
      </c>
      <c r="I185" s="176">
        <f>G185+H185</f>
        <v>4824</v>
      </c>
      <c r="J185" s="51" t="str">
        <f>B185</f>
        <v>03/11/2025      TO        30/11/2025</v>
      </c>
      <c r="K185" s="40" t="s">
        <v>28</v>
      </c>
      <c r="L185" s="351"/>
      <c r="M185" s="352"/>
      <c r="N185" s="20"/>
      <c r="O185" s="20"/>
      <c r="P185" s="175">
        <v>0</v>
      </c>
      <c r="Q185" s="175">
        <v>0</v>
      </c>
      <c r="R185" s="175">
        <v>0</v>
      </c>
    </row>
    <row r="186" spans="1:18" ht="15.95" customHeight="1">
      <c r="A186" s="6"/>
      <c r="B186" s="23"/>
      <c r="C186" s="20"/>
      <c r="D186" s="20"/>
      <c r="E186" s="20"/>
      <c r="F186" s="20"/>
      <c r="G186" s="175"/>
      <c r="H186" s="175"/>
      <c r="I186" s="176"/>
      <c r="J186" s="52"/>
      <c r="K186" s="20"/>
      <c r="L186" s="49"/>
      <c r="M186" s="213"/>
      <c r="N186" s="20"/>
      <c r="O186" s="20"/>
      <c r="P186" s="175"/>
      <c r="Q186" s="175"/>
      <c r="R186" s="177"/>
    </row>
    <row r="187" spans="1:18" ht="15.95" customHeight="1">
      <c r="A187" s="6"/>
      <c r="B187" s="23"/>
      <c r="C187" s="29"/>
      <c r="D187" s="20"/>
      <c r="E187" s="20"/>
      <c r="F187" s="20"/>
      <c r="G187" s="179"/>
      <c r="H187" s="180"/>
      <c r="I187" s="181"/>
      <c r="J187" s="52"/>
      <c r="K187" s="20"/>
      <c r="L187" s="49"/>
      <c r="M187" s="213"/>
      <c r="N187" s="20"/>
      <c r="O187" s="20"/>
      <c r="P187" s="175"/>
      <c r="Q187" s="178"/>
      <c r="R187" s="177"/>
    </row>
    <row r="188" spans="1:18" ht="15.95" customHeight="1">
      <c r="A188" s="6"/>
      <c r="B188" s="23"/>
      <c r="C188" s="20"/>
      <c r="D188" s="20"/>
      <c r="E188" s="20"/>
      <c r="F188" s="20"/>
      <c r="G188" s="182"/>
      <c r="H188" s="183"/>
      <c r="I188" s="184"/>
      <c r="J188" s="52"/>
      <c r="K188" s="20"/>
      <c r="L188" s="49"/>
      <c r="M188" s="213"/>
      <c r="N188" s="20"/>
      <c r="O188" s="20"/>
      <c r="P188" s="175"/>
      <c r="Q188" s="178"/>
      <c r="R188" s="177"/>
    </row>
    <row r="189" spans="1:18" ht="15.95" customHeight="1">
      <c r="A189" s="6"/>
      <c r="B189" s="23"/>
      <c r="C189" s="20"/>
      <c r="D189" s="20"/>
      <c r="E189" s="20"/>
      <c r="F189" s="20"/>
      <c r="G189" s="182"/>
      <c r="H189" s="183"/>
      <c r="I189" s="184"/>
      <c r="J189" s="52"/>
      <c r="K189" s="20"/>
      <c r="L189" s="49"/>
      <c r="M189" s="213"/>
      <c r="N189" s="20"/>
      <c r="O189" s="20"/>
      <c r="P189" s="175"/>
      <c r="Q189" s="178"/>
      <c r="R189" s="177"/>
    </row>
    <row r="190" spans="1:18" ht="15.95" customHeight="1">
      <c r="A190" s="6"/>
      <c r="B190" s="23"/>
      <c r="C190" s="20"/>
      <c r="D190" s="20"/>
      <c r="E190" s="20"/>
      <c r="F190" s="20"/>
      <c r="G190" s="183"/>
      <c r="H190" s="183"/>
      <c r="I190" s="184"/>
      <c r="J190" s="52"/>
      <c r="K190" s="20"/>
      <c r="L190" s="49"/>
      <c r="M190" s="213"/>
      <c r="N190" s="20"/>
      <c r="O190" s="20"/>
      <c r="P190" s="175"/>
      <c r="Q190" s="178"/>
      <c r="R190" s="177"/>
    </row>
    <row r="191" spans="1:18" ht="20.100000000000001" customHeight="1">
      <c r="A191" s="6"/>
      <c r="B191" s="23"/>
      <c r="C191" s="20"/>
      <c r="D191" s="20"/>
      <c r="E191" s="20"/>
      <c r="F191" s="20"/>
      <c r="G191" s="175"/>
      <c r="H191" s="175"/>
      <c r="I191" s="176"/>
      <c r="J191" s="52"/>
      <c r="K191" s="30" t="s">
        <v>57</v>
      </c>
      <c r="L191" s="215"/>
      <c r="M191" s="213"/>
      <c r="N191" s="20"/>
      <c r="O191" s="20"/>
      <c r="P191" s="196">
        <f>SUM(P185:P190)</f>
        <v>0</v>
      </c>
      <c r="Q191" s="196">
        <f>P191</f>
        <v>0</v>
      </c>
      <c r="R191" s="196">
        <f>P191+Q191</f>
        <v>0</v>
      </c>
    </row>
    <row r="192" spans="1:18" ht="20.100000000000001" customHeight="1">
      <c r="A192" s="6"/>
      <c r="B192" s="23"/>
      <c r="C192" s="20"/>
      <c r="D192" s="20"/>
      <c r="E192" s="20"/>
      <c r="F192" s="20"/>
      <c r="G192" s="177">
        <f>SUM(G185:G191)</f>
        <v>0</v>
      </c>
      <c r="H192" s="177">
        <f>SUM(H185:H191)</f>
        <v>4824</v>
      </c>
      <c r="I192" s="186">
        <f>SUM(I185:I191)</f>
        <v>4824</v>
      </c>
      <c r="J192" s="52"/>
      <c r="K192" s="30" t="s">
        <v>29</v>
      </c>
      <c r="L192" s="215"/>
      <c r="M192" s="213"/>
      <c r="N192" s="20"/>
      <c r="O192" s="20"/>
      <c r="P192" s="198">
        <v>0</v>
      </c>
      <c r="Q192" s="198">
        <f>I185+I187-I190</f>
        <v>4824</v>
      </c>
      <c r="R192" s="198">
        <f>I192-R191</f>
        <v>4824</v>
      </c>
    </row>
    <row r="193" spans="1:18" ht="20.100000000000001" customHeight="1">
      <c r="A193" s="6"/>
      <c r="B193" s="23"/>
      <c r="C193" s="20"/>
      <c r="D193" s="20"/>
      <c r="E193" s="20"/>
      <c r="F193" s="20"/>
      <c r="G193" s="20"/>
      <c r="H193" s="20"/>
      <c r="I193" s="49"/>
      <c r="J193" s="52"/>
      <c r="K193" s="30" t="s">
        <v>30</v>
      </c>
      <c r="L193" s="215"/>
      <c r="M193" s="213"/>
      <c r="N193" s="20"/>
      <c r="O193" s="20"/>
      <c r="P193" s="199">
        <f>P191</f>
        <v>0</v>
      </c>
      <c r="Q193" s="199">
        <f>Q191+Q192</f>
        <v>4824</v>
      </c>
      <c r="R193" s="199">
        <f>R191+R192</f>
        <v>4824</v>
      </c>
    </row>
    <row r="194" spans="1:18" ht="48" customHeight="1">
      <c r="A194" s="6"/>
      <c r="B194" s="336"/>
      <c r="C194" s="336"/>
      <c r="D194" s="336"/>
      <c r="E194" s="336"/>
      <c r="F194" s="336"/>
      <c r="G194" s="336"/>
      <c r="H194" s="336"/>
      <c r="I194" s="336"/>
      <c r="J194" s="336"/>
      <c r="K194" s="336"/>
      <c r="L194" s="336"/>
      <c r="M194" s="336"/>
      <c r="N194" s="336"/>
      <c r="O194" s="336"/>
      <c r="P194" s="336"/>
      <c r="Q194" s="336"/>
      <c r="R194" s="336"/>
    </row>
    <row r="195" spans="1:18" ht="42.6" customHeight="1">
      <c r="A195" s="6">
        <f ca="1">A195:R216</f>
        <v>0</v>
      </c>
      <c r="B195" s="340" t="s">
        <v>139</v>
      </c>
      <c r="C195" s="341"/>
      <c r="D195" s="341"/>
      <c r="E195" s="341"/>
      <c r="F195" s="341"/>
      <c r="G195" s="341"/>
      <c r="H195" s="341"/>
      <c r="I195" s="341"/>
      <c r="J195" s="341"/>
      <c r="K195" s="341"/>
      <c r="L195" s="341"/>
      <c r="M195" s="341"/>
      <c r="N195" s="341"/>
      <c r="O195" s="341"/>
      <c r="P195" s="341"/>
      <c r="Q195" s="341"/>
      <c r="R195" s="341"/>
    </row>
    <row r="196" spans="1:18" ht="43.5" customHeight="1">
      <c r="A196" s="6"/>
      <c r="B196" s="342"/>
      <c r="C196" s="343"/>
      <c r="D196" s="343"/>
      <c r="E196" s="343"/>
      <c r="F196" s="343"/>
      <c r="G196" s="343"/>
      <c r="H196" s="343"/>
      <c r="I196" s="344"/>
      <c r="J196" s="345"/>
      <c r="K196" s="345"/>
      <c r="L196" s="345"/>
      <c r="M196" s="345"/>
      <c r="N196" s="345"/>
      <c r="O196" s="345"/>
      <c r="P196" s="345"/>
      <c r="Q196" s="345"/>
      <c r="R196" s="346"/>
    </row>
    <row r="197" spans="1:18" ht="66" customHeight="1">
      <c r="A197" s="6"/>
      <c r="B197" s="15" t="s">
        <v>9</v>
      </c>
      <c r="C197" s="15" t="s">
        <v>19</v>
      </c>
      <c r="D197" s="16" t="s">
        <v>20</v>
      </c>
      <c r="E197" s="16" t="s">
        <v>21</v>
      </c>
      <c r="F197" s="16" t="s">
        <v>22</v>
      </c>
      <c r="G197" s="15" t="s">
        <v>23</v>
      </c>
      <c r="H197" s="15" t="s">
        <v>24</v>
      </c>
      <c r="I197" s="48" t="s">
        <v>25</v>
      </c>
      <c r="J197" s="50" t="s">
        <v>9</v>
      </c>
      <c r="K197" s="15" t="s">
        <v>56</v>
      </c>
      <c r="L197" s="347" t="s">
        <v>26</v>
      </c>
      <c r="M197" s="348"/>
      <c r="N197" s="16" t="s">
        <v>27</v>
      </c>
      <c r="O197" s="16" t="s">
        <v>22</v>
      </c>
      <c r="P197" s="15" t="s">
        <v>23</v>
      </c>
      <c r="Q197" s="15" t="s">
        <v>24</v>
      </c>
      <c r="R197" s="15" t="s">
        <v>25</v>
      </c>
    </row>
    <row r="198" spans="1:18" ht="45" customHeight="1">
      <c r="A198" s="6"/>
      <c r="B198" s="37" t="s">
        <v>207</v>
      </c>
      <c r="C198" s="13" t="s">
        <v>16</v>
      </c>
      <c r="D198" s="20"/>
      <c r="E198" s="20"/>
      <c r="F198" s="20"/>
      <c r="G198" s="175">
        <v>0</v>
      </c>
      <c r="H198" s="175">
        <f>Q192</f>
        <v>4824</v>
      </c>
      <c r="I198" s="176">
        <f>G198+H198</f>
        <v>4824</v>
      </c>
      <c r="J198" s="51" t="str">
        <f>B198</f>
        <v>20/12/2025</v>
      </c>
      <c r="K198" s="27" t="s">
        <v>234</v>
      </c>
      <c r="L198" s="334" t="s">
        <v>228</v>
      </c>
      <c r="M198" s="335"/>
      <c r="N198" s="192" t="s">
        <v>229</v>
      </c>
      <c r="O198" s="20"/>
      <c r="P198" s="175">
        <v>0</v>
      </c>
      <c r="Q198" s="175">
        <v>1700</v>
      </c>
      <c r="R198" s="175">
        <f>Q198</f>
        <v>1700</v>
      </c>
    </row>
    <row r="199" spans="1:18" ht="15.95" customHeight="1">
      <c r="A199" s="6"/>
      <c r="B199" s="23"/>
      <c r="C199" s="20"/>
      <c r="D199" s="20"/>
      <c r="E199" s="20"/>
      <c r="F199" s="20"/>
      <c r="G199" s="175"/>
      <c r="H199" s="175"/>
      <c r="I199" s="176"/>
      <c r="J199" s="52"/>
      <c r="K199" s="222" t="s">
        <v>79</v>
      </c>
      <c r="L199" s="223"/>
      <c r="M199" s="211"/>
      <c r="N199" s="192"/>
      <c r="O199" s="20"/>
      <c r="P199" s="177"/>
      <c r="Q199" s="177"/>
      <c r="R199" s="177"/>
    </row>
    <row r="200" spans="1:18" ht="15.95" customHeight="1">
      <c r="A200" s="6"/>
      <c r="B200" s="23"/>
      <c r="C200" s="29"/>
      <c r="D200" s="28"/>
      <c r="E200" s="28"/>
      <c r="F200" s="28"/>
      <c r="G200" s="182"/>
      <c r="H200" s="183"/>
      <c r="I200" s="187"/>
      <c r="J200" s="53"/>
      <c r="K200" s="118" t="s">
        <v>231</v>
      </c>
      <c r="L200" s="221">
        <v>45748</v>
      </c>
      <c r="M200" s="224" t="s">
        <v>232</v>
      </c>
      <c r="N200" s="192"/>
      <c r="O200" s="20"/>
      <c r="P200" s="177">
        <v>500</v>
      </c>
      <c r="Q200" s="177"/>
      <c r="R200" s="177">
        <f>P200</f>
        <v>500</v>
      </c>
    </row>
    <row r="201" spans="1:18" ht="15.95" customHeight="1">
      <c r="A201" s="6"/>
      <c r="B201" s="23"/>
      <c r="C201" s="29"/>
      <c r="D201" s="28"/>
      <c r="E201" s="28"/>
      <c r="F201" s="28"/>
      <c r="G201" s="182"/>
      <c r="H201" s="183"/>
      <c r="I201" s="187"/>
      <c r="J201" s="53"/>
      <c r="K201" s="118" t="s">
        <v>230</v>
      </c>
      <c r="L201" s="221">
        <v>45749</v>
      </c>
      <c r="M201" s="224">
        <v>45940</v>
      </c>
      <c r="N201" s="28"/>
      <c r="O201" s="28"/>
      <c r="P201" s="175">
        <v>1200</v>
      </c>
      <c r="Q201" s="178"/>
      <c r="R201" s="177">
        <f>P201</f>
        <v>1200</v>
      </c>
    </row>
    <row r="202" spans="1:18" ht="15.95" customHeight="1">
      <c r="A202" s="6"/>
      <c r="B202" s="23"/>
      <c r="C202" s="28"/>
      <c r="D202" s="28"/>
      <c r="E202" s="28"/>
      <c r="F202" s="28"/>
      <c r="G202" s="182"/>
      <c r="H202" s="183"/>
      <c r="I202" s="184"/>
      <c r="J202" s="53"/>
      <c r="K202" s="29"/>
      <c r="L202" s="220"/>
      <c r="M202" s="26"/>
      <c r="N202" s="28"/>
      <c r="O202" s="28"/>
      <c r="P202" s="175"/>
      <c r="Q202" s="178"/>
      <c r="R202" s="177"/>
    </row>
    <row r="203" spans="1:18" ht="15.95" customHeight="1">
      <c r="A203" s="6"/>
      <c r="B203" s="23"/>
      <c r="C203" s="195" t="s">
        <v>142</v>
      </c>
      <c r="D203" s="28"/>
      <c r="E203" s="28"/>
      <c r="F203" s="182"/>
      <c r="G203" s="185">
        <v>1700</v>
      </c>
      <c r="H203" s="193">
        <v>0</v>
      </c>
      <c r="I203" s="194">
        <f>G203</f>
        <v>1700</v>
      </c>
      <c r="J203" s="53"/>
      <c r="K203" s="29"/>
      <c r="L203" s="220"/>
      <c r="M203" s="26"/>
      <c r="N203" s="28"/>
      <c r="O203" s="28"/>
      <c r="P203" s="175"/>
      <c r="Q203" s="178"/>
      <c r="R203" s="177"/>
    </row>
    <row r="204" spans="1:18" ht="20.100000000000001" customHeight="1">
      <c r="A204" s="6"/>
      <c r="B204" s="23"/>
      <c r="C204" s="20"/>
      <c r="D204" s="20"/>
      <c r="E204" s="20"/>
      <c r="F204" s="20"/>
      <c r="G204" s="175"/>
      <c r="H204" s="175"/>
      <c r="I204" s="176"/>
      <c r="J204" s="52"/>
      <c r="K204" s="30" t="s">
        <v>57</v>
      </c>
      <c r="L204" s="215"/>
      <c r="M204" s="216"/>
      <c r="N204" s="31"/>
      <c r="O204" s="31"/>
      <c r="P204" s="196">
        <f>SUM(P198:P203)</f>
        <v>1700</v>
      </c>
      <c r="Q204" s="196">
        <f>P204</f>
        <v>1700</v>
      </c>
      <c r="R204" s="196">
        <f>P204+Q204</f>
        <v>3400</v>
      </c>
    </row>
    <row r="205" spans="1:18" ht="20.100000000000001" customHeight="1">
      <c r="A205" s="6"/>
      <c r="B205" s="23"/>
      <c r="C205" s="20"/>
      <c r="D205" s="20"/>
      <c r="E205" s="20"/>
      <c r="F205" s="20"/>
      <c r="G205" s="177">
        <f>SUM(G198:G204)</f>
        <v>1700</v>
      </c>
      <c r="H205" s="177">
        <f>SUM(H198:H204)</f>
        <v>4824</v>
      </c>
      <c r="I205" s="186">
        <f>SUM(I198:I204)</f>
        <v>6524</v>
      </c>
      <c r="J205" s="52"/>
      <c r="K205" s="30" t="s">
        <v>29</v>
      </c>
      <c r="L205" s="215"/>
      <c r="M205" s="216"/>
      <c r="N205" s="31"/>
      <c r="O205" s="31"/>
      <c r="P205" s="197">
        <v>0</v>
      </c>
      <c r="Q205" s="197">
        <f>I198+I200-I203</f>
        <v>3124</v>
      </c>
      <c r="R205" s="197">
        <f>I205-R204</f>
        <v>3124</v>
      </c>
    </row>
    <row r="206" spans="1:18" ht="20.100000000000001" customHeight="1">
      <c r="A206" s="6"/>
      <c r="B206" s="23"/>
      <c r="C206" s="20"/>
      <c r="D206" s="20"/>
      <c r="E206" s="20"/>
      <c r="F206" s="20"/>
      <c r="G206" s="20"/>
      <c r="H206" s="20"/>
      <c r="I206" s="49"/>
      <c r="J206" s="52"/>
      <c r="K206" s="30" t="s">
        <v>30</v>
      </c>
      <c r="L206" s="215"/>
      <c r="M206" s="216"/>
      <c r="N206" s="31"/>
      <c r="O206" s="31"/>
      <c r="P206" s="199">
        <f>P204</f>
        <v>1700</v>
      </c>
      <c r="Q206" s="199">
        <f>Q204+Q205</f>
        <v>4824</v>
      </c>
      <c r="R206" s="199">
        <f>R204+R205</f>
        <v>6524</v>
      </c>
    </row>
    <row r="207" spans="1:18" ht="63.6" customHeight="1">
      <c r="A207" s="6"/>
      <c r="B207" s="43"/>
      <c r="C207" s="43"/>
      <c r="D207" s="20"/>
      <c r="E207" s="20"/>
      <c r="F207" s="20"/>
      <c r="G207" s="20"/>
      <c r="H207" s="20"/>
      <c r="I207" s="49"/>
      <c r="J207" s="51"/>
      <c r="K207" s="20"/>
      <c r="L207" s="349"/>
      <c r="M207" s="350"/>
      <c r="N207" s="20"/>
      <c r="O207" s="20"/>
      <c r="P207" s="20"/>
      <c r="Q207" s="20"/>
      <c r="R207" s="20"/>
    </row>
    <row r="208" spans="1:18" ht="45" customHeight="1">
      <c r="A208" s="6"/>
      <c r="B208" s="37" t="s">
        <v>233</v>
      </c>
      <c r="C208" s="13" t="s">
        <v>16</v>
      </c>
      <c r="D208" s="20"/>
      <c r="E208" s="20"/>
      <c r="F208" s="20"/>
      <c r="G208" s="175">
        <v>0</v>
      </c>
      <c r="H208" s="175">
        <f>Q205</f>
        <v>3124</v>
      </c>
      <c r="I208" s="176">
        <f>G208+H208</f>
        <v>3124</v>
      </c>
      <c r="J208" s="51" t="str">
        <f>B208</f>
        <v>21/12/2025       TO        31/12/2025</v>
      </c>
      <c r="K208" s="40" t="s">
        <v>28</v>
      </c>
      <c r="L208" s="351"/>
      <c r="M208" s="352"/>
      <c r="N208" s="20"/>
      <c r="O208" s="20"/>
      <c r="P208" s="175">
        <v>0</v>
      </c>
      <c r="Q208" s="175">
        <v>0</v>
      </c>
      <c r="R208" s="175">
        <v>0</v>
      </c>
    </row>
    <row r="209" spans="1:18" ht="15.95" customHeight="1">
      <c r="A209" s="6"/>
      <c r="B209" s="23"/>
      <c r="C209" s="20"/>
      <c r="D209" s="20"/>
      <c r="E209" s="20"/>
      <c r="F209" s="20"/>
      <c r="G209" s="175"/>
      <c r="H209" s="175"/>
      <c r="I209" s="176"/>
      <c r="J209" s="52"/>
      <c r="K209" s="20"/>
      <c r="L209" s="49"/>
      <c r="M209" s="213"/>
      <c r="N209" s="20"/>
      <c r="O209" s="20"/>
      <c r="P209" s="175"/>
      <c r="Q209" s="175"/>
      <c r="R209" s="177"/>
    </row>
    <row r="210" spans="1:18" ht="15.95" customHeight="1">
      <c r="A210" s="6"/>
      <c r="B210" s="23"/>
      <c r="C210" s="29"/>
      <c r="D210" s="20"/>
      <c r="E210" s="20"/>
      <c r="F210" s="20"/>
      <c r="G210" s="179"/>
      <c r="H210" s="180"/>
      <c r="I210" s="181"/>
      <c r="J210" s="52"/>
      <c r="K210" s="20"/>
      <c r="L210" s="49"/>
      <c r="M210" s="213"/>
      <c r="N210" s="20"/>
      <c r="O210" s="20"/>
      <c r="P210" s="175"/>
      <c r="Q210" s="178"/>
      <c r="R210" s="177"/>
    </row>
    <row r="211" spans="1:18" ht="15.95" customHeight="1">
      <c r="A211" s="6"/>
      <c r="B211" s="23"/>
      <c r="C211" s="20"/>
      <c r="D211" s="20"/>
      <c r="E211" s="20"/>
      <c r="F211" s="20"/>
      <c r="G211" s="182"/>
      <c r="H211" s="183"/>
      <c r="I211" s="184"/>
      <c r="J211" s="52"/>
      <c r="K211" s="20"/>
      <c r="L211" s="49"/>
      <c r="M211" s="213"/>
      <c r="N211" s="20"/>
      <c r="O211" s="20"/>
      <c r="P211" s="175"/>
      <c r="Q211" s="178"/>
      <c r="R211" s="177"/>
    </row>
    <row r="212" spans="1:18" ht="15.95" customHeight="1">
      <c r="A212" s="6"/>
      <c r="B212" s="23"/>
      <c r="C212" s="20"/>
      <c r="D212" s="20"/>
      <c r="E212" s="20"/>
      <c r="F212" s="20"/>
      <c r="G212" s="182"/>
      <c r="H212" s="183"/>
      <c r="I212" s="184"/>
      <c r="J212" s="52"/>
      <c r="K212" s="20"/>
      <c r="L212" s="49"/>
      <c r="M212" s="213"/>
      <c r="N212" s="20"/>
      <c r="O212" s="20"/>
      <c r="P212" s="175"/>
      <c r="Q212" s="178"/>
      <c r="R212" s="177"/>
    </row>
    <row r="213" spans="1:18" ht="15.95" customHeight="1">
      <c r="A213" s="6"/>
      <c r="B213" s="23"/>
      <c r="C213" s="20"/>
      <c r="D213" s="20"/>
      <c r="E213" s="20"/>
      <c r="F213" s="20"/>
      <c r="G213" s="183"/>
      <c r="H213" s="183"/>
      <c r="I213" s="184"/>
      <c r="J213" s="52"/>
      <c r="K213" s="20"/>
      <c r="L213" s="49"/>
      <c r="M213" s="213"/>
      <c r="N213" s="20"/>
      <c r="O213" s="20"/>
      <c r="P213" s="175"/>
      <c r="Q213" s="178"/>
      <c r="R213" s="177"/>
    </row>
    <row r="214" spans="1:18" ht="20.100000000000001" customHeight="1">
      <c r="A214" s="6"/>
      <c r="B214" s="23"/>
      <c r="C214" s="20"/>
      <c r="D214" s="20"/>
      <c r="E214" s="20"/>
      <c r="F214" s="20"/>
      <c r="G214" s="175"/>
      <c r="H214" s="175"/>
      <c r="I214" s="176"/>
      <c r="J214" s="52"/>
      <c r="K214" s="30" t="s">
        <v>57</v>
      </c>
      <c r="L214" s="215"/>
      <c r="M214" s="213"/>
      <c r="N214" s="20"/>
      <c r="O214" s="20"/>
      <c r="P214" s="196">
        <f>SUM(P208:P213)</f>
        <v>0</v>
      </c>
      <c r="Q214" s="196">
        <f>P214</f>
        <v>0</v>
      </c>
      <c r="R214" s="196">
        <f>P214+Q214</f>
        <v>0</v>
      </c>
    </row>
    <row r="215" spans="1:18" ht="20.100000000000001" customHeight="1">
      <c r="A215" s="6"/>
      <c r="B215" s="23"/>
      <c r="C215" s="20"/>
      <c r="D215" s="20"/>
      <c r="E215" s="20"/>
      <c r="F215" s="20"/>
      <c r="G215" s="177">
        <f>SUM(G208:G214)</f>
        <v>0</v>
      </c>
      <c r="H215" s="177">
        <f>SUM(H208:H214)</f>
        <v>3124</v>
      </c>
      <c r="I215" s="186">
        <f>SUM(I208:I214)</f>
        <v>3124</v>
      </c>
      <c r="J215" s="52"/>
      <c r="K215" s="30" t="s">
        <v>29</v>
      </c>
      <c r="L215" s="215"/>
      <c r="M215" s="213"/>
      <c r="N215" s="20"/>
      <c r="O215" s="20"/>
      <c r="P215" s="198">
        <v>0</v>
      </c>
      <c r="Q215" s="198">
        <f>I208+I210-I213</f>
        <v>3124</v>
      </c>
      <c r="R215" s="198">
        <f>I215-R214</f>
        <v>3124</v>
      </c>
    </row>
    <row r="216" spans="1:18" ht="20.100000000000001" customHeight="1">
      <c r="A216" s="6"/>
      <c r="B216" s="23"/>
      <c r="C216" s="20"/>
      <c r="D216" s="20"/>
      <c r="E216" s="20"/>
      <c r="F216" s="20"/>
      <c r="G216" s="20"/>
      <c r="H216" s="20"/>
      <c r="I216" s="49"/>
      <c r="J216" s="52"/>
      <c r="K216" s="30" t="s">
        <v>30</v>
      </c>
      <c r="L216" s="215"/>
      <c r="M216" s="213"/>
      <c r="N216" s="20"/>
      <c r="O216" s="20"/>
      <c r="P216" s="199">
        <f>P214</f>
        <v>0</v>
      </c>
      <c r="Q216" s="199">
        <f>Q214+Q215</f>
        <v>3124</v>
      </c>
      <c r="R216" s="199">
        <f>R214+R215</f>
        <v>3124</v>
      </c>
    </row>
    <row r="217" spans="1:18" ht="48" customHeight="1">
      <c r="A217" s="6"/>
      <c r="B217" s="336"/>
      <c r="C217" s="336"/>
      <c r="D217" s="336"/>
      <c r="E217" s="336"/>
      <c r="F217" s="336"/>
      <c r="G217" s="336"/>
      <c r="H217" s="336"/>
      <c r="I217" s="336"/>
      <c r="J217" s="336"/>
      <c r="K217" s="336"/>
      <c r="L217" s="336"/>
      <c r="M217" s="336"/>
      <c r="N217" s="336"/>
      <c r="O217" s="336"/>
      <c r="P217" s="336"/>
      <c r="Q217" s="336"/>
      <c r="R217" s="336"/>
    </row>
    <row r="218" spans="1:18" ht="42.6" customHeight="1">
      <c r="A218" s="6">
        <f ca="1">A218:R239</f>
        <v>0</v>
      </c>
      <c r="B218" s="340" t="s">
        <v>139</v>
      </c>
      <c r="C218" s="341"/>
      <c r="D218" s="341"/>
      <c r="E218" s="341"/>
      <c r="F218" s="341"/>
      <c r="G218" s="341"/>
      <c r="H218" s="341"/>
      <c r="I218" s="341"/>
      <c r="J218" s="341"/>
      <c r="K218" s="341"/>
      <c r="L218" s="341"/>
      <c r="M218" s="341"/>
      <c r="N218" s="341"/>
      <c r="O218" s="341"/>
      <c r="P218" s="341"/>
      <c r="Q218" s="341"/>
      <c r="R218" s="341"/>
    </row>
    <row r="219" spans="1:18" ht="43.5" customHeight="1">
      <c r="A219" s="6"/>
      <c r="B219" s="342"/>
      <c r="C219" s="343"/>
      <c r="D219" s="343"/>
      <c r="E219" s="343"/>
      <c r="F219" s="343"/>
      <c r="G219" s="343"/>
      <c r="H219" s="343"/>
      <c r="I219" s="344"/>
      <c r="J219" s="345"/>
      <c r="K219" s="345"/>
      <c r="L219" s="345"/>
      <c r="M219" s="345"/>
      <c r="N219" s="345"/>
      <c r="O219" s="345"/>
      <c r="P219" s="345"/>
      <c r="Q219" s="345"/>
      <c r="R219" s="346"/>
    </row>
    <row r="220" spans="1:18" ht="66" customHeight="1">
      <c r="A220" s="6"/>
      <c r="B220" s="15" t="s">
        <v>9</v>
      </c>
      <c r="C220" s="15" t="s">
        <v>19</v>
      </c>
      <c r="D220" s="16" t="s">
        <v>20</v>
      </c>
      <c r="E220" s="16" t="s">
        <v>21</v>
      </c>
      <c r="F220" s="16" t="s">
        <v>22</v>
      </c>
      <c r="G220" s="15" t="s">
        <v>23</v>
      </c>
      <c r="H220" s="15" t="s">
        <v>24</v>
      </c>
      <c r="I220" s="48" t="s">
        <v>25</v>
      </c>
      <c r="J220" s="50" t="s">
        <v>9</v>
      </c>
      <c r="K220" s="15" t="s">
        <v>56</v>
      </c>
      <c r="L220" s="347" t="s">
        <v>26</v>
      </c>
      <c r="M220" s="348"/>
      <c r="N220" s="16" t="s">
        <v>27</v>
      </c>
      <c r="O220" s="16" t="s">
        <v>22</v>
      </c>
      <c r="P220" s="15" t="s">
        <v>23</v>
      </c>
      <c r="Q220" s="15" t="s">
        <v>24</v>
      </c>
      <c r="R220" s="15" t="s">
        <v>25</v>
      </c>
    </row>
    <row r="221" spans="1:18" ht="45" customHeight="1">
      <c r="A221" s="6"/>
      <c r="B221" s="37" t="s">
        <v>269</v>
      </c>
      <c r="C221" s="13" t="s">
        <v>16</v>
      </c>
      <c r="D221" s="20"/>
      <c r="E221" s="20"/>
      <c r="F221" s="20"/>
      <c r="G221" s="175">
        <v>0</v>
      </c>
      <c r="H221" s="175">
        <f>Q215</f>
        <v>3124</v>
      </c>
      <c r="I221" s="176">
        <f>G221+H221</f>
        <v>3124</v>
      </c>
      <c r="J221" s="51" t="str">
        <f>B221</f>
        <v>01/01/2026   TO   29/01/2026</v>
      </c>
      <c r="K221" s="40" t="s">
        <v>28</v>
      </c>
      <c r="L221" s="351"/>
      <c r="M221" s="352"/>
      <c r="N221" s="20"/>
      <c r="O221" s="20"/>
      <c r="P221" s="175">
        <v>0</v>
      </c>
      <c r="Q221" s="175">
        <v>0</v>
      </c>
      <c r="R221" s="175">
        <f>Q221</f>
        <v>0</v>
      </c>
    </row>
    <row r="222" spans="1:18" ht="15.95" customHeight="1">
      <c r="A222" s="6"/>
      <c r="B222" s="23"/>
      <c r="C222" s="20"/>
      <c r="D222" s="20"/>
      <c r="E222" s="20"/>
      <c r="F222" s="20"/>
      <c r="G222" s="175"/>
      <c r="H222" s="175"/>
      <c r="I222" s="176"/>
      <c r="J222" s="52"/>
      <c r="K222" s="20"/>
      <c r="L222" s="49"/>
      <c r="M222" s="213"/>
      <c r="N222" s="20"/>
      <c r="O222" s="20"/>
      <c r="P222" s="175"/>
      <c r="Q222" s="175"/>
      <c r="R222" s="177"/>
    </row>
    <row r="223" spans="1:18" ht="15.95" customHeight="1">
      <c r="A223" s="6"/>
      <c r="B223" s="23"/>
      <c r="C223" s="42"/>
      <c r="D223" s="25"/>
      <c r="E223" s="25"/>
      <c r="F223" s="25"/>
      <c r="G223" s="179"/>
      <c r="H223" s="180"/>
      <c r="I223" s="181"/>
      <c r="J223" s="53"/>
      <c r="K223" s="27"/>
      <c r="L223" s="219"/>
      <c r="M223" s="26"/>
      <c r="N223" s="28"/>
      <c r="O223" s="28"/>
      <c r="P223" s="175"/>
      <c r="Q223" s="178"/>
      <c r="R223" s="177"/>
    </row>
    <row r="224" spans="1:18" ht="15.95" customHeight="1">
      <c r="A224" s="6"/>
      <c r="B224" s="23"/>
      <c r="C224" s="29"/>
      <c r="D224" s="28"/>
      <c r="E224" s="28"/>
      <c r="F224" s="28"/>
      <c r="G224" s="182"/>
      <c r="H224" s="183"/>
      <c r="I224" s="187"/>
      <c r="J224" s="53"/>
      <c r="K224" s="27"/>
      <c r="L224" s="219"/>
      <c r="M224" s="26"/>
      <c r="N224" s="28"/>
      <c r="O224" s="28"/>
      <c r="P224" s="175"/>
      <c r="Q224" s="178"/>
      <c r="R224" s="177"/>
    </row>
    <row r="225" spans="1:18" ht="15.95" customHeight="1">
      <c r="A225" s="6"/>
      <c r="B225" s="23"/>
      <c r="C225" s="28"/>
      <c r="D225" s="28"/>
      <c r="E225" s="28"/>
      <c r="F225" s="28"/>
      <c r="G225" s="182"/>
      <c r="H225" s="183"/>
      <c r="I225" s="184"/>
      <c r="J225" s="53"/>
      <c r="K225" s="29"/>
      <c r="L225" s="220"/>
      <c r="M225" s="26"/>
      <c r="N225" s="28"/>
      <c r="O225" s="28"/>
      <c r="P225" s="175"/>
      <c r="Q225" s="178"/>
      <c r="R225" s="177"/>
    </row>
    <row r="226" spans="1:18" ht="15.95" customHeight="1">
      <c r="A226" s="6"/>
      <c r="B226" s="23"/>
      <c r="C226" s="29"/>
      <c r="D226" s="28"/>
      <c r="E226" s="28"/>
      <c r="F226" s="28"/>
      <c r="G226" s="183"/>
      <c r="H226" s="183"/>
      <c r="I226" s="184"/>
      <c r="J226" s="53"/>
      <c r="K226" s="29"/>
      <c r="L226" s="220"/>
      <c r="M226" s="26"/>
      <c r="N226" s="28"/>
      <c r="O226" s="28"/>
      <c r="P226" s="175"/>
      <c r="Q226" s="178"/>
      <c r="R226" s="177"/>
    </row>
    <row r="227" spans="1:18" ht="20.100000000000001" customHeight="1">
      <c r="A227" s="6"/>
      <c r="B227" s="23"/>
      <c r="C227" s="20"/>
      <c r="D227" s="20"/>
      <c r="E227" s="20"/>
      <c r="F227" s="20"/>
      <c r="G227" s="175"/>
      <c r="H227" s="175"/>
      <c r="I227" s="176"/>
      <c r="J227" s="52"/>
      <c r="K227" s="30" t="s">
        <v>57</v>
      </c>
      <c r="L227" s="215"/>
      <c r="M227" s="216"/>
      <c r="N227" s="31"/>
      <c r="O227" s="31"/>
      <c r="P227" s="196">
        <f>SUM(P221:P226)</f>
        <v>0</v>
      </c>
      <c r="Q227" s="196">
        <f>P227</f>
        <v>0</v>
      </c>
      <c r="R227" s="196">
        <f>P227+Q227</f>
        <v>0</v>
      </c>
    </row>
    <row r="228" spans="1:18" ht="20.100000000000001" customHeight="1">
      <c r="A228" s="6"/>
      <c r="B228" s="23"/>
      <c r="C228" s="20"/>
      <c r="D228" s="20"/>
      <c r="E228" s="20"/>
      <c r="F228" s="20"/>
      <c r="G228" s="177">
        <f>SUM(G221:G227)</f>
        <v>0</v>
      </c>
      <c r="H228" s="177">
        <f>SUM(H221:H227)</f>
        <v>3124</v>
      </c>
      <c r="I228" s="186">
        <f>SUM(I221:I227)</f>
        <v>3124</v>
      </c>
      <c r="J228" s="52"/>
      <c r="K228" s="30" t="s">
        <v>29</v>
      </c>
      <c r="L228" s="215"/>
      <c r="M228" s="216"/>
      <c r="N228" s="31"/>
      <c r="O228" s="31"/>
      <c r="P228" s="197">
        <v>0</v>
      </c>
      <c r="Q228" s="197">
        <f>I221+I223-I226</f>
        <v>3124</v>
      </c>
      <c r="R228" s="197">
        <f>I228-R227</f>
        <v>3124</v>
      </c>
    </row>
    <row r="229" spans="1:18" ht="20.100000000000001" customHeight="1">
      <c r="A229" s="6"/>
      <c r="B229" s="23"/>
      <c r="C229" s="20"/>
      <c r="D229" s="20"/>
      <c r="E229" s="20"/>
      <c r="F229" s="20"/>
      <c r="G229" s="20"/>
      <c r="H229" s="20"/>
      <c r="I229" s="49"/>
      <c r="J229" s="52"/>
      <c r="K229" s="30" t="s">
        <v>30</v>
      </c>
      <c r="L229" s="215"/>
      <c r="M229" s="216"/>
      <c r="N229" s="31"/>
      <c r="O229" s="31"/>
      <c r="P229" s="199">
        <f>P227</f>
        <v>0</v>
      </c>
      <c r="Q229" s="199">
        <f>Q227+Q228</f>
        <v>3124</v>
      </c>
      <c r="R229" s="199">
        <f>R227+R228</f>
        <v>3124</v>
      </c>
    </row>
    <row r="230" spans="1:18" ht="63.6" customHeight="1">
      <c r="A230" s="6"/>
      <c r="B230" s="43"/>
      <c r="C230" s="43"/>
      <c r="D230" s="20"/>
      <c r="E230" s="20"/>
      <c r="F230" s="20"/>
      <c r="G230" s="20"/>
      <c r="H230" s="20"/>
      <c r="I230" s="49"/>
      <c r="J230" s="51"/>
      <c r="K230" s="20"/>
      <c r="L230" s="349"/>
      <c r="M230" s="350"/>
      <c r="N230" s="20"/>
      <c r="O230" s="20"/>
      <c r="P230" s="20"/>
      <c r="Q230" s="20"/>
      <c r="R230" s="20"/>
    </row>
    <row r="231" spans="1:18" ht="45" customHeight="1">
      <c r="A231" s="6"/>
      <c r="B231" s="37" t="s">
        <v>226</v>
      </c>
      <c r="C231" s="13" t="s">
        <v>16</v>
      </c>
      <c r="D231" s="20"/>
      <c r="E231" s="20"/>
      <c r="F231" s="20"/>
      <c r="G231" s="175">
        <v>0</v>
      </c>
      <c r="H231" s="175">
        <f>Q228</f>
        <v>3124</v>
      </c>
      <c r="I231" s="176">
        <f>G231+H231</f>
        <v>3124</v>
      </c>
      <c r="J231" s="51" t="str">
        <f>B231</f>
        <v>03/11/2025      TO        30/11/2025</v>
      </c>
      <c r="K231" s="40" t="s">
        <v>28</v>
      </c>
      <c r="L231" s="351"/>
      <c r="M231" s="352"/>
      <c r="N231" s="20"/>
      <c r="O231" s="20"/>
      <c r="P231" s="175">
        <v>0</v>
      </c>
      <c r="Q231" s="175">
        <v>0</v>
      </c>
      <c r="R231" s="175">
        <v>0</v>
      </c>
    </row>
    <row r="232" spans="1:18" ht="15.95" customHeight="1">
      <c r="A232" s="6"/>
      <c r="B232" s="23"/>
      <c r="C232" s="20"/>
      <c r="D232" s="20"/>
      <c r="E232" s="20"/>
      <c r="F232" s="20"/>
      <c r="G232" s="175"/>
      <c r="H232" s="175"/>
      <c r="I232" s="176"/>
      <c r="J232" s="52"/>
      <c r="K232" s="20"/>
      <c r="L232" s="49"/>
      <c r="M232" s="213"/>
      <c r="N232" s="20"/>
      <c r="O232" s="20"/>
      <c r="P232" s="175"/>
      <c r="Q232" s="175"/>
      <c r="R232" s="177"/>
    </row>
    <row r="233" spans="1:18" ht="15.95" customHeight="1">
      <c r="A233" s="6"/>
      <c r="B233" s="23"/>
      <c r="C233" s="42" t="s">
        <v>270</v>
      </c>
      <c r="D233" s="25"/>
      <c r="E233" s="25"/>
      <c r="F233" s="25"/>
      <c r="G233" s="179"/>
      <c r="H233" s="297">
        <v>17963</v>
      </c>
      <c r="I233" s="298">
        <f>H233</f>
        <v>17963</v>
      </c>
      <c r="J233" s="52"/>
      <c r="K233" s="20"/>
      <c r="L233" s="49"/>
      <c r="M233" s="213"/>
      <c r="N233" s="20"/>
      <c r="O233" s="20"/>
      <c r="P233" s="175"/>
      <c r="Q233" s="178"/>
      <c r="R233" s="177"/>
    </row>
    <row r="234" spans="1:18" ht="15.95" customHeight="1">
      <c r="A234" s="6"/>
      <c r="B234" s="23"/>
      <c r="C234" s="20"/>
      <c r="D234" s="20"/>
      <c r="E234" s="20"/>
      <c r="F234" s="20"/>
      <c r="G234" s="182"/>
      <c r="H234" s="183"/>
      <c r="I234" s="184"/>
      <c r="J234" s="52"/>
      <c r="K234" s="20"/>
      <c r="L234" s="49"/>
      <c r="M234" s="213"/>
      <c r="N234" s="20"/>
      <c r="O234" s="20"/>
      <c r="P234" s="175"/>
      <c r="Q234" s="178"/>
      <c r="R234" s="177"/>
    </row>
    <row r="235" spans="1:18" ht="15.95" customHeight="1">
      <c r="A235" s="6"/>
      <c r="B235" s="23"/>
      <c r="C235" s="20"/>
      <c r="D235" s="20"/>
      <c r="E235" s="20"/>
      <c r="F235" s="20"/>
      <c r="G235" s="182"/>
      <c r="H235" s="183"/>
      <c r="I235" s="184"/>
      <c r="J235" s="52"/>
      <c r="K235" s="20"/>
      <c r="L235" s="49"/>
      <c r="M235" s="213"/>
      <c r="N235" s="20"/>
      <c r="O235" s="20"/>
      <c r="P235" s="175"/>
      <c r="Q235" s="178"/>
      <c r="R235" s="177"/>
    </row>
    <row r="236" spans="1:18" ht="15.95" customHeight="1">
      <c r="A236" s="6"/>
      <c r="B236" s="23"/>
      <c r="C236" s="20"/>
      <c r="D236" s="20"/>
      <c r="E236" s="20"/>
      <c r="F236" s="20"/>
      <c r="G236" s="183"/>
      <c r="H236" s="183"/>
      <c r="I236" s="184"/>
      <c r="J236" s="52"/>
      <c r="K236" s="20"/>
      <c r="L236" s="49"/>
      <c r="M236" s="213"/>
      <c r="N236" s="20"/>
      <c r="O236" s="20"/>
      <c r="P236" s="175"/>
      <c r="Q236" s="178"/>
      <c r="R236" s="177"/>
    </row>
    <row r="237" spans="1:18" ht="20.100000000000001" customHeight="1">
      <c r="A237" s="6"/>
      <c r="B237" s="23"/>
      <c r="C237" s="20"/>
      <c r="D237" s="20"/>
      <c r="E237" s="20"/>
      <c r="F237" s="20"/>
      <c r="G237" s="175"/>
      <c r="H237" s="175"/>
      <c r="I237" s="176"/>
      <c r="J237" s="52"/>
      <c r="K237" s="30" t="s">
        <v>57</v>
      </c>
      <c r="L237" s="215"/>
      <c r="M237" s="213"/>
      <c r="N237" s="20"/>
      <c r="O237" s="20"/>
      <c r="P237" s="196">
        <f>SUM(P231:P236)</f>
        <v>0</v>
      </c>
      <c r="Q237" s="196">
        <f>P237</f>
        <v>0</v>
      </c>
      <c r="R237" s="196">
        <f>P237+Q237</f>
        <v>0</v>
      </c>
    </row>
    <row r="238" spans="1:18" ht="20.100000000000001" customHeight="1">
      <c r="A238" s="6"/>
      <c r="B238" s="23"/>
      <c r="C238" s="20"/>
      <c r="D238" s="20"/>
      <c r="E238" s="20"/>
      <c r="F238" s="20"/>
      <c r="G238" s="177">
        <f>SUM(G231:G237)</f>
        <v>0</v>
      </c>
      <c r="H238" s="177">
        <f>SUM(H231:H237)</f>
        <v>21087</v>
      </c>
      <c r="I238" s="186">
        <f>SUM(I231:I237)</f>
        <v>21087</v>
      </c>
      <c r="J238" s="52"/>
      <c r="K238" s="30" t="s">
        <v>29</v>
      </c>
      <c r="L238" s="215"/>
      <c r="M238" s="213"/>
      <c r="N238" s="20"/>
      <c r="O238" s="20"/>
      <c r="P238" s="198">
        <v>0</v>
      </c>
      <c r="Q238" s="198">
        <f>I231+I233-I236</f>
        <v>21087</v>
      </c>
      <c r="R238" s="198">
        <f>I238-R237</f>
        <v>21087</v>
      </c>
    </row>
    <row r="239" spans="1:18" ht="20.100000000000001" customHeight="1">
      <c r="A239" s="6"/>
      <c r="B239" s="23"/>
      <c r="C239" s="20"/>
      <c r="D239" s="20"/>
      <c r="E239" s="20"/>
      <c r="F239" s="20"/>
      <c r="G239" s="20"/>
      <c r="H239" s="20"/>
      <c r="I239" s="49"/>
      <c r="J239" s="52"/>
      <c r="K239" s="30" t="s">
        <v>30</v>
      </c>
      <c r="L239" s="215"/>
      <c r="M239" s="213"/>
      <c r="N239" s="20"/>
      <c r="O239" s="20"/>
      <c r="P239" s="199">
        <f>P237</f>
        <v>0</v>
      </c>
      <c r="Q239" s="199">
        <f>Q237+Q238</f>
        <v>21087</v>
      </c>
      <c r="R239" s="199">
        <f>R237+R238</f>
        <v>21087</v>
      </c>
    </row>
    <row r="240" spans="1:18" ht="48" customHeight="1">
      <c r="A240" s="6"/>
      <c r="B240" s="336"/>
      <c r="C240" s="336"/>
      <c r="D240" s="336"/>
      <c r="E240" s="336"/>
      <c r="F240" s="336"/>
      <c r="G240" s="336"/>
      <c r="H240" s="336"/>
      <c r="I240" s="336"/>
      <c r="J240" s="336"/>
      <c r="K240" s="336"/>
      <c r="L240" s="336"/>
      <c r="M240" s="336"/>
      <c r="N240" s="336"/>
      <c r="O240" s="336"/>
      <c r="P240" s="336"/>
      <c r="Q240" s="336"/>
      <c r="R240" s="336"/>
    </row>
    <row r="241" spans="1:18" ht="42.6" customHeight="1">
      <c r="A241" s="6">
        <f ca="1">A241:R262</f>
        <v>0</v>
      </c>
      <c r="B241" s="340" t="s">
        <v>139</v>
      </c>
      <c r="C241" s="341"/>
      <c r="D241" s="341"/>
      <c r="E241" s="341"/>
      <c r="F241" s="341"/>
      <c r="G241" s="341"/>
      <c r="H241" s="341"/>
      <c r="I241" s="341"/>
      <c r="J241" s="341"/>
      <c r="K241" s="341"/>
      <c r="L241" s="341"/>
      <c r="M241" s="341"/>
      <c r="N241" s="341"/>
      <c r="O241" s="341"/>
      <c r="P241" s="341"/>
      <c r="Q241" s="341"/>
      <c r="R241" s="341"/>
    </row>
    <row r="242" spans="1:18" ht="43.5" customHeight="1">
      <c r="A242" s="6"/>
      <c r="B242" s="342"/>
      <c r="C242" s="343"/>
      <c r="D242" s="343"/>
      <c r="E242" s="343"/>
      <c r="F242" s="343"/>
      <c r="G242" s="343"/>
      <c r="H242" s="343"/>
      <c r="I242" s="344"/>
      <c r="J242" s="345"/>
      <c r="K242" s="345"/>
      <c r="L242" s="345"/>
      <c r="M242" s="345"/>
      <c r="N242" s="345"/>
      <c r="O242" s="345"/>
      <c r="P242" s="345"/>
      <c r="Q242" s="345"/>
      <c r="R242" s="346"/>
    </row>
    <row r="243" spans="1:18" ht="66" customHeight="1">
      <c r="A243" s="6"/>
      <c r="B243" s="15" t="s">
        <v>9</v>
      </c>
      <c r="C243" s="15" t="s">
        <v>19</v>
      </c>
      <c r="D243" s="16" t="s">
        <v>20</v>
      </c>
      <c r="E243" s="16" t="s">
        <v>21</v>
      </c>
      <c r="F243" s="16" t="s">
        <v>22</v>
      </c>
      <c r="G243" s="15" t="s">
        <v>23</v>
      </c>
      <c r="H243" s="15" t="s">
        <v>24</v>
      </c>
      <c r="I243" s="48" t="s">
        <v>25</v>
      </c>
      <c r="J243" s="50" t="s">
        <v>9</v>
      </c>
      <c r="K243" s="15" t="s">
        <v>56</v>
      </c>
      <c r="L243" s="347" t="s">
        <v>26</v>
      </c>
      <c r="M243" s="348"/>
      <c r="N243" s="16" t="s">
        <v>27</v>
      </c>
      <c r="O243" s="16" t="s">
        <v>22</v>
      </c>
      <c r="P243" s="15" t="s">
        <v>23</v>
      </c>
      <c r="Q243" s="15" t="s">
        <v>24</v>
      </c>
      <c r="R243" s="15" t="s">
        <v>25</v>
      </c>
    </row>
    <row r="244" spans="1:18" ht="45" customHeight="1">
      <c r="A244" s="6"/>
      <c r="B244" s="37">
        <v>46175</v>
      </c>
      <c r="C244" s="13" t="s">
        <v>16</v>
      </c>
      <c r="D244" s="20"/>
      <c r="E244" s="20"/>
      <c r="F244" s="20"/>
      <c r="G244" s="175">
        <v>0</v>
      </c>
      <c r="H244" s="175">
        <f>Q238</f>
        <v>21087</v>
      </c>
      <c r="I244" s="176">
        <f>G244+H244</f>
        <v>21087</v>
      </c>
      <c r="J244" s="51">
        <f>B244</f>
        <v>46175</v>
      </c>
      <c r="K244" s="40" t="s">
        <v>28</v>
      </c>
      <c r="L244" s="351"/>
      <c r="M244" s="352"/>
      <c r="N244" s="20"/>
      <c r="O244" s="20"/>
      <c r="P244" s="175">
        <v>0</v>
      </c>
      <c r="Q244" s="175">
        <v>0</v>
      </c>
      <c r="R244" s="175">
        <f>Q244</f>
        <v>0</v>
      </c>
    </row>
    <row r="245" spans="1:18" ht="15.95" customHeight="1">
      <c r="A245" s="6"/>
      <c r="B245" s="23"/>
      <c r="C245" s="20"/>
      <c r="D245" s="20"/>
      <c r="E245" s="20"/>
      <c r="F245" s="20"/>
      <c r="G245" s="175"/>
      <c r="H245" s="175"/>
      <c r="I245" s="176"/>
      <c r="J245" s="52"/>
      <c r="K245" s="20"/>
      <c r="L245" s="49"/>
      <c r="M245" s="213"/>
      <c r="N245" s="20"/>
      <c r="O245" s="20"/>
      <c r="P245" s="175"/>
      <c r="Q245" s="175"/>
      <c r="R245" s="177"/>
    </row>
    <row r="246" spans="1:18" ht="15.95" customHeight="1">
      <c r="A246" s="6"/>
      <c r="B246" s="23"/>
      <c r="C246" s="42" t="s">
        <v>58</v>
      </c>
      <c r="D246" s="25"/>
      <c r="E246" s="25"/>
      <c r="F246" s="25"/>
      <c r="G246" s="179"/>
      <c r="H246" s="180">
        <v>28</v>
      </c>
      <c r="I246" s="181">
        <f>H246</f>
        <v>28</v>
      </c>
      <c r="J246" s="53"/>
      <c r="K246" s="27"/>
      <c r="L246" s="219"/>
      <c r="M246" s="26"/>
      <c r="N246" s="28"/>
      <c r="O246" s="28"/>
      <c r="P246" s="175"/>
      <c r="Q246" s="178"/>
      <c r="R246" s="177"/>
    </row>
    <row r="247" spans="1:18" ht="15.95" customHeight="1">
      <c r="A247" s="6"/>
      <c r="B247" s="23"/>
      <c r="C247" s="29"/>
      <c r="D247" s="28"/>
      <c r="E247" s="28"/>
      <c r="F247" s="28"/>
      <c r="G247" s="182"/>
      <c r="H247" s="183"/>
      <c r="I247" s="187"/>
      <c r="J247" s="53"/>
      <c r="K247" s="27"/>
      <c r="L247" s="219"/>
      <c r="M247" s="26"/>
      <c r="N247" s="28"/>
      <c r="O247" s="28"/>
      <c r="P247" s="175"/>
      <c r="Q247" s="178"/>
      <c r="R247" s="177"/>
    </row>
    <row r="248" spans="1:18" ht="15.95" customHeight="1">
      <c r="A248" s="6"/>
      <c r="B248" s="23"/>
      <c r="C248" s="28"/>
      <c r="D248" s="28"/>
      <c r="E248" s="28"/>
      <c r="F248" s="28"/>
      <c r="G248" s="182"/>
      <c r="H248" s="183"/>
      <c r="I248" s="184"/>
      <c r="J248" s="53"/>
      <c r="K248" s="29"/>
      <c r="L248" s="220"/>
      <c r="M248" s="26"/>
      <c r="N248" s="28"/>
      <c r="O248" s="28"/>
      <c r="P248" s="175"/>
      <c r="Q248" s="178"/>
      <c r="R248" s="177"/>
    </row>
    <row r="249" spans="1:18" ht="15.95" customHeight="1">
      <c r="A249" s="6"/>
      <c r="B249" s="23"/>
      <c r="C249" s="29"/>
      <c r="D249" s="28"/>
      <c r="E249" s="28"/>
      <c r="F249" s="28"/>
      <c r="G249" s="183"/>
      <c r="H249" s="183"/>
      <c r="I249" s="184"/>
      <c r="J249" s="53"/>
      <c r="K249" s="29"/>
      <c r="L249" s="220"/>
      <c r="M249" s="26"/>
      <c r="N249" s="28"/>
      <c r="O249" s="28"/>
      <c r="P249" s="175"/>
      <c r="Q249" s="178"/>
      <c r="R249" s="177"/>
    </row>
    <row r="250" spans="1:18" ht="20.100000000000001" customHeight="1">
      <c r="A250" s="6"/>
      <c r="B250" s="23"/>
      <c r="C250" s="20"/>
      <c r="D250" s="20"/>
      <c r="E250" s="20"/>
      <c r="F250" s="20"/>
      <c r="G250" s="175"/>
      <c r="H250" s="175"/>
      <c r="I250" s="176"/>
      <c r="J250" s="52"/>
      <c r="K250" s="30" t="s">
        <v>57</v>
      </c>
      <c r="L250" s="215"/>
      <c r="M250" s="216"/>
      <c r="N250" s="31"/>
      <c r="O250" s="31"/>
      <c r="P250" s="196">
        <f>SUM(P244:P249)</f>
        <v>0</v>
      </c>
      <c r="Q250" s="196">
        <f>P250</f>
        <v>0</v>
      </c>
      <c r="R250" s="196">
        <f>P250+Q250</f>
        <v>0</v>
      </c>
    </row>
    <row r="251" spans="1:18" ht="20.100000000000001" customHeight="1">
      <c r="A251" s="6"/>
      <c r="B251" s="23"/>
      <c r="C251" s="20"/>
      <c r="D251" s="20"/>
      <c r="E251" s="20"/>
      <c r="F251" s="20"/>
      <c r="G251" s="177">
        <f>SUM(G244:G250)</f>
        <v>0</v>
      </c>
      <c r="H251" s="177">
        <f>SUM(H244:H250)</f>
        <v>21115</v>
      </c>
      <c r="I251" s="186">
        <f>SUM(I244:I250)</f>
        <v>21115</v>
      </c>
      <c r="J251" s="52"/>
      <c r="K251" s="30" t="s">
        <v>29</v>
      </c>
      <c r="L251" s="215"/>
      <c r="M251" s="216"/>
      <c r="N251" s="31"/>
      <c r="O251" s="31"/>
      <c r="P251" s="197">
        <v>0</v>
      </c>
      <c r="Q251" s="197">
        <f>I244+I246-I249</f>
        <v>21115</v>
      </c>
      <c r="R251" s="197">
        <f>I251-R250</f>
        <v>21115</v>
      </c>
    </row>
    <row r="252" spans="1:18" ht="20.100000000000001" customHeight="1">
      <c r="A252" s="6"/>
      <c r="B252" s="23"/>
      <c r="C252" s="20"/>
      <c r="D252" s="20"/>
      <c r="E252" s="20"/>
      <c r="F252" s="20"/>
      <c r="G252" s="20"/>
      <c r="H252" s="20"/>
      <c r="I252" s="49"/>
      <c r="J252" s="52"/>
      <c r="K252" s="30" t="s">
        <v>30</v>
      </c>
      <c r="L252" s="215"/>
      <c r="M252" s="216"/>
      <c r="N252" s="31"/>
      <c r="O252" s="31"/>
      <c r="P252" s="199">
        <f>P250</f>
        <v>0</v>
      </c>
      <c r="Q252" s="199">
        <f>Q250+Q251</f>
        <v>21115</v>
      </c>
      <c r="R252" s="199">
        <f>R250+R251</f>
        <v>21115</v>
      </c>
    </row>
    <row r="253" spans="1:18" ht="63.6" customHeight="1">
      <c r="A253" s="6"/>
      <c r="B253" s="43"/>
      <c r="C253" s="43"/>
      <c r="D253" s="20"/>
      <c r="E253" s="20"/>
      <c r="F253" s="20"/>
      <c r="G253" s="20"/>
      <c r="H253" s="20"/>
      <c r="I253" s="49"/>
      <c r="J253" s="51"/>
      <c r="K253" s="20"/>
      <c r="L253" s="349"/>
      <c r="M253" s="350"/>
      <c r="N253" s="20"/>
      <c r="O253" s="20"/>
      <c r="P253" s="20"/>
      <c r="Q253" s="20"/>
      <c r="R253" s="20"/>
    </row>
    <row r="254" spans="1:18" ht="45" customHeight="1">
      <c r="A254" s="6"/>
      <c r="B254" s="37" t="s">
        <v>271</v>
      </c>
      <c r="C254" s="13" t="s">
        <v>16</v>
      </c>
      <c r="D254" s="20"/>
      <c r="E254" s="20"/>
      <c r="F254" s="20"/>
      <c r="G254" s="175">
        <v>0</v>
      </c>
      <c r="H254" s="175">
        <f>Q251</f>
        <v>21115</v>
      </c>
      <c r="I254" s="176">
        <f>G254+H254</f>
        <v>21115</v>
      </c>
      <c r="J254" s="51" t="str">
        <f>B254</f>
        <v>07/02/2026   TO    25/02/2026</v>
      </c>
      <c r="K254" s="40" t="s">
        <v>28</v>
      </c>
      <c r="L254" s="351"/>
      <c r="M254" s="352"/>
      <c r="N254" s="20"/>
      <c r="O254" s="20"/>
      <c r="P254" s="175">
        <v>0</v>
      </c>
      <c r="Q254" s="175">
        <v>0</v>
      </c>
      <c r="R254" s="175">
        <v>0</v>
      </c>
    </row>
    <row r="255" spans="1:18" ht="15.95" customHeight="1">
      <c r="A255" s="6"/>
      <c r="B255" s="23"/>
      <c r="C255" s="20"/>
      <c r="D255" s="20"/>
      <c r="E255" s="20"/>
      <c r="F255" s="20"/>
      <c r="G255" s="175"/>
      <c r="H255" s="175"/>
      <c r="I255" s="176"/>
      <c r="J255" s="52"/>
      <c r="K255" s="20"/>
      <c r="L255" s="49"/>
      <c r="M255" s="213"/>
      <c r="N255" s="20"/>
      <c r="O255" s="20"/>
      <c r="P255" s="175"/>
      <c r="Q255" s="175"/>
      <c r="R255" s="177"/>
    </row>
    <row r="256" spans="1:18" ht="15.95" customHeight="1">
      <c r="A256" s="6"/>
      <c r="B256" s="23"/>
      <c r="C256" s="29"/>
      <c r="D256" s="28"/>
      <c r="E256" s="28"/>
      <c r="F256" s="28"/>
      <c r="G256" s="182"/>
      <c r="H256" s="299"/>
      <c r="I256" s="300"/>
      <c r="J256" s="52"/>
      <c r="K256" s="20"/>
      <c r="L256" s="49"/>
      <c r="M256" s="213"/>
      <c r="N256" s="20"/>
      <c r="O256" s="20"/>
      <c r="P256" s="175"/>
      <c r="Q256" s="178"/>
      <c r="R256" s="177"/>
    </row>
    <row r="257" spans="1:18" ht="15.95" customHeight="1">
      <c r="A257" s="6"/>
      <c r="B257" s="23"/>
      <c r="C257" s="20"/>
      <c r="D257" s="20"/>
      <c r="E257" s="20"/>
      <c r="F257" s="20"/>
      <c r="G257" s="182"/>
      <c r="H257" s="183"/>
      <c r="I257" s="184"/>
      <c r="J257" s="52"/>
      <c r="K257" s="20"/>
      <c r="L257" s="49"/>
      <c r="M257" s="213"/>
      <c r="N257" s="20"/>
      <c r="O257" s="20"/>
      <c r="P257" s="175"/>
      <c r="Q257" s="178"/>
      <c r="R257" s="177"/>
    </row>
    <row r="258" spans="1:18" ht="15.95" customHeight="1">
      <c r="A258" s="6"/>
      <c r="B258" s="23"/>
      <c r="C258" s="20"/>
      <c r="D258" s="20"/>
      <c r="E258" s="20"/>
      <c r="F258" s="20"/>
      <c r="G258" s="182"/>
      <c r="H258" s="183"/>
      <c r="I258" s="184"/>
      <c r="J258" s="52"/>
      <c r="K258" s="20"/>
      <c r="L258" s="49"/>
      <c r="M258" s="213"/>
      <c r="N258" s="20"/>
      <c r="O258" s="20"/>
      <c r="P258" s="175"/>
      <c r="Q258" s="178"/>
      <c r="R258" s="177"/>
    </row>
    <row r="259" spans="1:18" ht="15.95" customHeight="1">
      <c r="A259" s="6"/>
      <c r="B259" s="23"/>
      <c r="C259" s="20"/>
      <c r="D259" s="20"/>
      <c r="E259" s="20"/>
      <c r="F259" s="20"/>
      <c r="G259" s="183"/>
      <c r="H259" s="183"/>
      <c r="I259" s="184"/>
      <c r="J259" s="52"/>
      <c r="K259" s="20"/>
      <c r="L259" s="49"/>
      <c r="M259" s="213"/>
      <c r="N259" s="20"/>
      <c r="O259" s="20"/>
      <c r="P259" s="175"/>
      <c r="Q259" s="178"/>
      <c r="R259" s="177"/>
    </row>
    <row r="260" spans="1:18" ht="20.100000000000001" customHeight="1">
      <c r="A260" s="6"/>
      <c r="B260" s="23"/>
      <c r="C260" s="20"/>
      <c r="D260" s="20"/>
      <c r="E260" s="20"/>
      <c r="F260" s="20"/>
      <c r="G260" s="175"/>
      <c r="H260" s="175"/>
      <c r="I260" s="176"/>
      <c r="J260" s="52"/>
      <c r="K260" s="30" t="s">
        <v>57</v>
      </c>
      <c r="L260" s="215"/>
      <c r="M260" s="213"/>
      <c r="N260" s="20"/>
      <c r="O260" s="20"/>
      <c r="P260" s="196">
        <f>SUM(P254:P259)</f>
        <v>0</v>
      </c>
      <c r="Q260" s="196">
        <f>P260</f>
        <v>0</v>
      </c>
      <c r="R260" s="196">
        <f>P260+Q260</f>
        <v>0</v>
      </c>
    </row>
    <row r="261" spans="1:18" ht="20.100000000000001" customHeight="1">
      <c r="A261" s="6"/>
      <c r="B261" s="23"/>
      <c r="C261" s="20"/>
      <c r="D261" s="20"/>
      <c r="E261" s="20"/>
      <c r="F261" s="20"/>
      <c r="G261" s="177">
        <f>SUM(G254:G260)</f>
        <v>0</v>
      </c>
      <c r="H261" s="177">
        <f>SUM(H254:H260)</f>
        <v>21115</v>
      </c>
      <c r="I261" s="186">
        <f>SUM(I254:I260)</f>
        <v>21115</v>
      </c>
      <c r="J261" s="52"/>
      <c r="K261" s="30" t="s">
        <v>29</v>
      </c>
      <c r="L261" s="215"/>
      <c r="M261" s="213"/>
      <c r="N261" s="20"/>
      <c r="O261" s="20"/>
      <c r="P261" s="198">
        <v>0</v>
      </c>
      <c r="Q261" s="198">
        <f>I254+I256-I259</f>
        <v>21115</v>
      </c>
      <c r="R261" s="198">
        <f>I261-R260</f>
        <v>21115</v>
      </c>
    </row>
    <row r="262" spans="1:18" ht="20.100000000000001" customHeight="1">
      <c r="A262" s="6"/>
      <c r="B262" s="23"/>
      <c r="C262" s="20"/>
      <c r="D262" s="20"/>
      <c r="E262" s="20"/>
      <c r="F262" s="20"/>
      <c r="G262" s="20"/>
      <c r="H262" s="20"/>
      <c r="I262" s="49"/>
      <c r="J262" s="52"/>
      <c r="K262" s="30" t="s">
        <v>30</v>
      </c>
      <c r="L262" s="215"/>
      <c r="M262" s="213"/>
      <c r="N262" s="20"/>
      <c r="O262" s="20"/>
      <c r="P262" s="199">
        <f>P260</f>
        <v>0</v>
      </c>
      <c r="Q262" s="199">
        <f>Q260+Q261</f>
        <v>21115</v>
      </c>
      <c r="R262" s="199">
        <f>R260+R261</f>
        <v>21115</v>
      </c>
    </row>
    <row r="263" spans="1:18" ht="48" customHeight="1">
      <c r="A263" s="6"/>
      <c r="B263" s="336"/>
      <c r="C263" s="336"/>
      <c r="D263" s="336"/>
      <c r="E263" s="336"/>
      <c r="F263" s="336"/>
      <c r="G263" s="336"/>
      <c r="H263" s="336"/>
      <c r="I263" s="336"/>
      <c r="J263" s="336"/>
      <c r="K263" s="336"/>
      <c r="L263" s="336"/>
      <c r="M263" s="336"/>
      <c r="N263" s="336"/>
      <c r="O263" s="336"/>
      <c r="P263" s="336"/>
      <c r="Q263" s="336"/>
      <c r="R263" s="336"/>
    </row>
    <row r="264" spans="1:18" ht="42.6" customHeight="1">
      <c r="A264" s="6">
        <f ca="1">A264:R285</f>
        <v>0</v>
      </c>
      <c r="B264" s="340" t="s">
        <v>139</v>
      </c>
      <c r="C264" s="341"/>
      <c r="D264" s="341"/>
      <c r="E264" s="341"/>
      <c r="F264" s="341"/>
      <c r="G264" s="341"/>
      <c r="H264" s="341"/>
      <c r="I264" s="341"/>
      <c r="J264" s="341"/>
      <c r="K264" s="341"/>
      <c r="L264" s="341"/>
      <c r="M264" s="341"/>
      <c r="N264" s="341"/>
      <c r="O264" s="341"/>
      <c r="P264" s="341"/>
      <c r="Q264" s="341"/>
      <c r="R264" s="341"/>
    </row>
    <row r="265" spans="1:18" ht="43.5" customHeight="1">
      <c r="A265" s="6"/>
      <c r="B265" s="342"/>
      <c r="C265" s="343"/>
      <c r="D265" s="343"/>
      <c r="E265" s="343"/>
      <c r="F265" s="343"/>
      <c r="G265" s="343"/>
      <c r="H265" s="343"/>
      <c r="I265" s="344"/>
      <c r="J265" s="345"/>
      <c r="K265" s="345"/>
      <c r="L265" s="345"/>
      <c r="M265" s="345"/>
      <c r="N265" s="345"/>
      <c r="O265" s="345"/>
      <c r="P265" s="345"/>
      <c r="Q265" s="345"/>
      <c r="R265" s="346"/>
    </row>
    <row r="266" spans="1:18" ht="66" customHeight="1">
      <c r="A266" s="6"/>
      <c r="B266" s="15" t="s">
        <v>9</v>
      </c>
      <c r="C266" s="15" t="s">
        <v>19</v>
      </c>
      <c r="D266" s="16" t="s">
        <v>20</v>
      </c>
      <c r="E266" s="16" t="s">
        <v>21</v>
      </c>
      <c r="F266" s="16" t="s">
        <v>22</v>
      </c>
      <c r="G266" s="15" t="s">
        <v>23</v>
      </c>
      <c r="H266" s="15" t="s">
        <v>24</v>
      </c>
      <c r="I266" s="48" t="s">
        <v>25</v>
      </c>
      <c r="J266" s="50" t="s">
        <v>9</v>
      </c>
      <c r="K266" s="15" t="s">
        <v>56</v>
      </c>
      <c r="L266" s="347" t="s">
        <v>26</v>
      </c>
      <c r="M266" s="348"/>
      <c r="N266" s="16" t="s">
        <v>27</v>
      </c>
      <c r="O266" s="16" t="s">
        <v>22</v>
      </c>
      <c r="P266" s="15" t="s">
        <v>23</v>
      </c>
      <c r="Q266" s="15" t="s">
        <v>24</v>
      </c>
      <c r="R266" s="15" t="s">
        <v>25</v>
      </c>
    </row>
    <row r="267" spans="1:18" ht="45" customHeight="1">
      <c r="A267" s="6"/>
      <c r="B267" s="37" t="s">
        <v>272</v>
      </c>
      <c r="C267" s="13" t="s">
        <v>16</v>
      </c>
      <c r="D267" s="20"/>
      <c r="E267" s="20"/>
      <c r="F267" s="20"/>
      <c r="G267" s="175">
        <v>0</v>
      </c>
      <c r="H267" s="175">
        <f>Q261</f>
        <v>21115</v>
      </c>
      <c r="I267" s="176">
        <f>G267+H267</f>
        <v>21115</v>
      </c>
      <c r="J267" s="51" t="str">
        <f>B267</f>
        <v>26/02/2026</v>
      </c>
      <c r="K267" s="40" t="s">
        <v>273</v>
      </c>
      <c r="L267" s="334" t="s">
        <v>277</v>
      </c>
      <c r="M267" s="335"/>
      <c r="N267" s="192" t="s">
        <v>274</v>
      </c>
      <c r="O267" s="20"/>
      <c r="P267" s="175">
        <v>0</v>
      </c>
      <c r="Q267" s="175">
        <v>2498</v>
      </c>
      <c r="R267" s="175">
        <f>Q267</f>
        <v>2498</v>
      </c>
    </row>
    <row r="268" spans="1:18" ht="15.95" customHeight="1">
      <c r="A268" s="6"/>
      <c r="B268" s="23"/>
      <c r="C268" s="20"/>
      <c r="D268" s="20"/>
      <c r="E268" s="20"/>
      <c r="F268" s="20"/>
      <c r="G268" s="175"/>
      <c r="H268" s="175"/>
      <c r="I268" s="176"/>
      <c r="J268" s="52"/>
      <c r="K268" s="41" t="s">
        <v>275</v>
      </c>
      <c r="L268" s="49"/>
      <c r="M268" s="213"/>
      <c r="N268" s="301">
        <v>2399</v>
      </c>
      <c r="O268" s="20"/>
      <c r="P268" s="175"/>
      <c r="Q268" s="175"/>
      <c r="R268" s="177"/>
    </row>
    <row r="269" spans="1:18" ht="15.95" customHeight="1">
      <c r="A269" s="6"/>
      <c r="B269" s="23"/>
      <c r="C269" s="42"/>
      <c r="D269" s="25"/>
      <c r="E269" s="25"/>
      <c r="F269" s="25"/>
      <c r="G269" s="179"/>
      <c r="H269" s="180"/>
      <c r="I269" s="181"/>
      <c r="J269" s="53"/>
      <c r="K269" s="27" t="s">
        <v>81</v>
      </c>
      <c r="L269" s="219"/>
      <c r="M269" s="26"/>
      <c r="N269" s="301">
        <v>98</v>
      </c>
      <c r="O269" s="28"/>
      <c r="P269" s="175"/>
      <c r="Q269" s="178"/>
      <c r="R269" s="177"/>
    </row>
    <row r="270" spans="1:18" ht="15.95" customHeight="1">
      <c r="A270" s="6"/>
      <c r="B270" s="23"/>
      <c r="C270" s="29"/>
      <c r="D270" s="28"/>
      <c r="E270" s="28"/>
      <c r="F270" s="28"/>
      <c r="G270" s="182"/>
      <c r="H270" s="183"/>
      <c r="I270" s="187"/>
      <c r="J270" s="53"/>
      <c r="K270" s="27" t="s">
        <v>76</v>
      </c>
      <c r="L270" s="219"/>
      <c r="M270" s="26"/>
      <c r="N270" s="301">
        <v>1</v>
      </c>
      <c r="O270" s="28"/>
      <c r="P270" s="175"/>
      <c r="Q270" s="178"/>
      <c r="R270" s="177"/>
    </row>
    <row r="271" spans="1:18" ht="15.95" customHeight="1">
      <c r="A271" s="6"/>
      <c r="B271" s="23"/>
      <c r="C271" s="28"/>
      <c r="D271" s="28"/>
      <c r="E271" s="28"/>
      <c r="F271" s="28"/>
      <c r="G271" s="182"/>
      <c r="H271" s="183"/>
      <c r="I271" s="184"/>
      <c r="J271" s="53"/>
      <c r="K271" s="29"/>
      <c r="L271" s="220"/>
      <c r="M271" s="26"/>
      <c r="N271" s="301">
        <v>2498</v>
      </c>
      <c r="O271" s="28"/>
      <c r="P271" s="175"/>
      <c r="Q271" s="178"/>
      <c r="R271" s="177"/>
    </row>
    <row r="272" spans="1:18" ht="15.95" customHeight="1">
      <c r="A272" s="6"/>
      <c r="B272" s="23"/>
      <c r="C272" s="29"/>
      <c r="D272" s="28"/>
      <c r="E272" s="28"/>
      <c r="F272" s="28"/>
      <c r="G272" s="183"/>
      <c r="H272" s="183"/>
      <c r="I272" s="184"/>
      <c r="J272" s="53"/>
      <c r="K272" s="29"/>
      <c r="L272" s="220"/>
      <c r="M272" s="26"/>
      <c r="N272" s="28"/>
      <c r="O272" s="28"/>
      <c r="P272" s="175"/>
      <c r="Q272" s="178"/>
      <c r="R272" s="177"/>
    </row>
    <row r="273" spans="1:18" ht="20.100000000000001" customHeight="1">
      <c r="A273" s="6"/>
      <c r="B273" s="23"/>
      <c r="C273" s="20"/>
      <c r="D273" s="20"/>
      <c r="E273" s="20"/>
      <c r="F273" s="20"/>
      <c r="G273" s="175"/>
      <c r="H273" s="175"/>
      <c r="I273" s="176"/>
      <c r="J273" s="52"/>
      <c r="K273" s="30" t="s">
        <v>57</v>
      </c>
      <c r="L273" s="215"/>
      <c r="M273" s="216"/>
      <c r="N273" s="31"/>
      <c r="O273" s="31"/>
      <c r="P273" s="196">
        <f>SUM(P267:P272)</f>
        <v>0</v>
      </c>
      <c r="Q273" s="196">
        <f>Q267</f>
        <v>2498</v>
      </c>
      <c r="R273" s="196">
        <f>P273+Q273</f>
        <v>2498</v>
      </c>
    </row>
    <row r="274" spans="1:18" ht="20.100000000000001" customHeight="1">
      <c r="A274" s="6"/>
      <c r="B274" s="23"/>
      <c r="C274" s="20"/>
      <c r="D274" s="20"/>
      <c r="E274" s="20"/>
      <c r="F274" s="20"/>
      <c r="G274" s="177">
        <f>SUM(G267:G273)</f>
        <v>0</v>
      </c>
      <c r="H274" s="177">
        <f>SUM(H267:H273)</f>
        <v>21115</v>
      </c>
      <c r="I274" s="186">
        <f>SUM(I267:I273)</f>
        <v>21115</v>
      </c>
      <c r="J274" s="52"/>
      <c r="K274" s="30" t="s">
        <v>29</v>
      </c>
      <c r="L274" s="215"/>
      <c r="M274" s="216"/>
      <c r="N274" s="31"/>
      <c r="O274" s="31"/>
      <c r="P274" s="197">
        <v>0</v>
      </c>
      <c r="Q274" s="197">
        <f>H274-Q273</f>
        <v>18617</v>
      </c>
      <c r="R274" s="197">
        <f>I274-R273</f>
        <v>18617</v>
      </c>
    </row>
    <row r="275" spans="1:18" ht="20.100000000000001" customHeight="1">
      <c r="A275" s="6"/>
      <c r="B275" s="23"/>
      <c r="C275" s="20"/>
      <c r="D275" s="20"/>
      <c r="E275" s="20"/>
      <c r="F275" s="20"/>
      <c r="G275" s="20"/>
      <c r="H275" s="20"/>
      <c r="I275" s="49"/>
      <c r="J275" s="52"/>
      <c r="K275" s="30" t="s">
        <v>30</v>
      </c>
      <c r="L275" s="215"/>
      <c r="M275" s="216"/>
      <c r="N275" s="31"/>
      <c r="O275" s="31"/>
      <c r="P275" s="199">
        <f>P273</f>
        <v>0</v>
      </c>
      <c r="Q275" s="199">
        <f>Q273+Q274</f>
        <v>21115</v>
      </c>
      <c r="R275" s="199">
        <f>R273+R274</f>
        <v>21115</v>
      </c>
    </row>
    <row r="276" spans="1:18" ht="63.6" customHeight="1">
      <c r="A276" s="6"/>
      <c r="B276" s="43"/>
      <c r="C276" s="43"/>
      <c r="D276" s="20"/>
      <c r="E276" s="20"/>
      <c r="F276" s="20"/>
      <c r="G276" s="20"/>
      <c r="H276" s="20"/>
      <c r="I276" s="49"/>
      <c r="J276" s="51"/>
      <c r="K276" s="20"/>
      <c r="L276" s="349"/>
      <c r="M276" s="350"/>
      <c r="N276" s="20"/>
      <c r="O276" s="20"/>
      <c r="P276" s="20"/>
      <c r="Q276" s="20"/>
      <c r="R276" s="20"/>
    </row>
    <row r="277" spans="1:18" ht="45" customHeight="1">
      <c r="A277" s="6"/>
      <c r="B277" s="37" t="s">
        <v>276</v>
      </c>
      <c r="C277" s="13" t="s">
        <v>16</v>
      </c>
      <c r="D277" s="20"/>
      <c r="E277" s="20"/>
      <c r="F277" s="20"/>
      <c r="G277" s="175">
        <v>0</v>
      </c>
      <c r="H277" s="175">
        <f>Q274</f>
        <v>18617</v>
      </c>
      <c r="I277" s="176">
        <f>G277+H277</f>
        <v>18617</v>
      </c>
      <c r="J277" s="51" t="str">
        <f>B277</f>
        <v>27/02/2026   TO        02/03/2026</v>
      </c>
      <c r="K277" s="40" t="s">
        <v>28</v>
      </c>
      <c r="L277" s="351"/>
      <c r="M277" s="352"/>
      <c r="N277" s="20"/>
      <c r="O277" s="20"/>
      <c r="P277" s="175">
        <v>0</v>
      </c>
      <c r="Q277" s="175">
        <v>0</v>
      </c>
      <c r="R277" s="175">
        <v>0</v>
      </c>
    </row>
    <row r="278" spans="1:18" ht="15.95" customHeight="1">
      <c r="A278" s="6"/>
      <c r="B278" s="23"/>
      <c r="C278" s="20"/>
      <c r="D278" s="20"/>
      <c r="E278" s="20"/>
      <c r="F278" s="20"/>
      <c r="G278" s="175"/>
      <c r="H278" s="175"/>
      <c r="I278" s="176"/>
      <c r="J278" s="52"/>
      <c r="K278" s="20"/>
      <c r="L278" s="49"/>
      <c r="M278" s="213"/>
      <c r="N278" s="20"/>
      <c r="O278" s="20"/>
      <c r="P278" s="175"/>
      <c r="Q278" s="175"/>
      <c r="R278" s="177"/>
    </row>
    <row r="279" spans="1:18" ht="15.95" customHeight="1">
      <c r="A279" s="6"/>
      <c r="B279" s="23"/>
      <c r="C279" s="42"/>
      <c r="D279" s="25"/>
      <c r="E279" s="25"/>
      <c r="F279" s="25"/>
      <c r="G279" s="179"/>
      <c r="H279" s="297"/>
      <c r="I279" s="298"/>
      <c r="J279" s="52"/>
      <c r="K279" s="20"/>
      <c r="L279" s="49"/>
      <c r="M279" s="213"/>
      <c r="N279" s="20"/>
      <c r="O279" s="20"/>
      <c r="P279" s="175"/>
      <c r="Q279" s="178"/>
      <c r="R279" s="177"/>
    </row>
    <row r="280" spans="1:18" ht="15.95" customHeight="1">
      <c r="A280" s="6"/>
      <c r="B280" s="23"/>
      <c r="C280" s="20"/>
      <c r="D280" s="20"/>
      <c r="E280" s="20"/>
      <c r="F280" s="20"/>
      <c r="G280" s="182"/>
      <c r="H280" s="183"/>
      <c r="I280" s="184"/>
      <c r="J280" s="52"/>
      <c r="K280" s="20"/>
      <c r="L280" s="49"/>
      <c r="M280" s="213"/>
      <c r="N280" s="20"/>
      <c r="O280" s="20"/>
      <c r="P280" s="175"/>
      <c r="Q280" s="178"/>
      <c r="R280" s="177"/>
    </row>
    <row r="281" spans="1:18" ht="15.95" customHeight="1">
      <c r="A281" s="6"/>
      <c r="B281" s="23"/>
      <c r="C281" s="20"/>
      <c r="D281" s="20"/>
      <c r="E281" s="20"/>
      <c r="F281" s="20"/>
      <c r="G281" s="182"/>
      <c r="H281" s="183"/>
      <c r="I281" s="184"/>
      <c r="J281" s="52"/>
      <c r="K281" s="20"/>
      <c r="L281" s="49"/>
      <c r="M281" s="213"/>
      <c r="N281" s="20"/>
      <c r="O281" s="20"/>
      <c r="P281" s="175"/>
      <c r="Q281" s="178"/>
      <c r="R281" s="177"/>
    </row>
    <row r="282" spans="1:18" ht="15.95" customHeight="1">
      <c r="A282" s="6"/>
      <c r="B282" s="23"/>
      <c r="C282" s="20"/>
      <c r="D282" s="20"/>
      <c r="E282" s="20"/>
      <c r="F282" s="20"/>
      <c r="G282" s="183"/>
      <c r="H282" s="183"/>
      <c r="I282" s="184"/>
      <c r="J282" s="52"/>
      <c r="K282" s="20"/>
      <c r="L282" s="49"/>
      <c r="M282" s="213"/>
      <c r="N282" s="20"/>
      <c r="O282" s="20"/>
      <c r="P282" s="175"/>
      <c r="Q282" s="178"/>
      <c r="R282" s="177"/>
    </row>
    <row r="283" spans="1:18" ht="20.100000000000001" customHeight="1">
      <c r="A283" s="6"/>
      <c r="B283" s="23"/>
      <c r="C283" s="20"/>
      <c r="D283" s="20"/>
      <c r="E283" s="20"/>
      <c r="F283" s="20"/>
      <c r="G283" s="175"/>
      <c r="H283" s="175"/>
      <c r="I283" s="176"/>
      <c r="J283" s="52"/>
      <c r="K283" s="30" t="s">
        <v>57</v>
      </c>
      <c r="L283" s="215"/>
      <c r="M283" s="213"/>
      <c r="N283" s="20"/>
      <c r="O283" s="20"/>
      <c r="P283" s="196">
        <f>SUM(P277:P282)</f>
        <v>0</v>
      </c>
      <c r="Q283" s="196">
        <f>P283</f>
        <v>0</v>
      </c>
      <c r="R283" s="196">
        <f>P283+Q283</f>
        <v>0</v>
      </c>
    </row>
    <row r="284" spans="1:18" ht="20.100000000000001" customHeight="1">
      <c r="A284" s="6"/>
      <c r="B284" s="23"/>
      <c r="C284" s="20"/>
      <c r="D284" s="20"/>
      <c r="E284" s="20"/>
      <c r="F284" s="20"/>
      <c r="G284" s="177">
        <f>SUM(G277:G283)</f>
        <v>0</v>
      </c>
      <c r="H284" s="177">
        <f>SUM(H277:H283)</f>
        <v>18617</v>
      </c>
      <c r="I284" s="186">
        <f>SUM(I277:I283)</f>
        <v>18617</v>
      </c>
      <c r="J284" s="52"/>
      <c r="K284" s="30" t="s">
        <v>29</v>
      </c>
      <c r="L284" s="215"/>
      <c r="M284" s="213"/>
      <c r="N284" s="20"/>
      <c r="O284" s="20"/>
      <c r="P284" s="198">
        <v>0</v>
      </c>
      <c r="Q284" s="198">
        <f>I277+I279-I282</f>
        <v>18617</v>
      </c>
      <c r="R284" s="198">
        <f>I284-R283</f>
        <v>18617</v>
      </c>
    </row>
    <row r="285" spans="1:18" ht="20.100000000000001" customHeight="1">
      <c r="A285" s="6"/>
      <c r="B285" s="23"/>
      <c r="C285" s="20"/>
      <c r="D285" s="20"/>
      <c r="E285" s="20"/>
      <c r="F285" s="20"/>
      <c r="G285" s="20"/>
      <c r="H285" s="20"/>
      <c r="I285" s="49"/>
      <c r="J285" s="52"/>
      <c r="K285" s="30" t="s">
        <v>30</v>
      </c>
      <c r="L285" s="215"/>
      <c r="M285" s="213"/>
      <c r="N285" s="20"/>
      <c r="O285" s="20"/>
      <c r="P285" s="199">
        <f>P283</f>
        <v>0</v>
      </c>
      <c r="Q285" s="199">
        <f>Q283+Q284</f>
        <v>18617</v>
      </c>
      <c r="R285" s="199">
        <f>R283+R284</f>
        <v>18617</v>
      </c>
    </row>
    <row r="286" spans="1:18" ht="48" customHeight="1">
      <c r="A286" s="6"/>
      <c r="B286" s="336"/>
      <c r="C286" s="336"/>
      <c r="D286" s="336"/>
      <c r="E286" s="336"/>
      <c r="F286" s="336"/>
      <c r="G286" s="336"/>
      <c r="H286" s="336"/>
      <c r="I286" s="336"/>
      <c r="J286" s="336"/>
      <c r="K286" s="336"/>
      <c r="L286" s="336"/>
      <c r="M286" s="336"/>
      <c r="N286" s="336"/>
      <c r="O286" s="336"/>
      <c r="P286" s="336"/>
      <c r="Q286" s="336"/>
      <c r="R286" s="336"/>
    </row>
    <row r="287" spans="1:18" ht="42.6" customHeight="1">
      <c r="A287" s="6">
        <f ca="1">A287:R308</f>
        <v>0</v>
      </c>
      <c r="B287" s="340" t="s">
        <v>139</v>
      </c>
      <c r="C287" s="341"/>
      <c r="D287" s="341"/>
      <c r="E287" s="341"/>
      <c r="F287" s="341"/>
      <c r="G287" s="341"/>
      <c r="H287" s="341"/>
      <c r="I287" s="341"/>
      <c r="J287" s="341"/>
      <c r="K287" s="341"/>
      <c r="L287" s="341"/>
      <c r="M287" s="341"/>
      <c r="N287" s="341"/>
      <c r="O287" s="341"/>
      <c r="P287" s="341"/>
      <c r="Q287" s="341"/>
      <c r="R287" s="341"/>
    </row>
    <row r="288" spans="1:18" ht="43.5" customHeight="1">
      <c r="A288" s="6"/>
      <c r="B288" s="342"/>
      <c r="C288" s="343"/>
      <c r="D288" s="343"/>
      <c r="E288" s="343"/>
      <c r="F288" s="343"/>
      <c r="G288" s="343"/>
      <c r="H288" s="343"/>
      <c r="I288" s="344"/>
      <c r="J288" s="345"/>
      <c r="K288" s="345"/>
      <c r="L288" s="345"/>
      <c r="M288" s="345"/>
      <c r="N288" s="345"/>
      <c r="O288" s="345"/>
      <c r="P288" s="345"/>
      <c r="Q288" s="345"/>
      <c r="R288" s="346"/>
    </row>
    <row r="289" spans="1:18" ht="66" customHeight="1">
      <c r="A289" s="6"/>
      <c r="B289" s="15" t="s">
        <v>9</v>
      </c>
      <c r="C289" s="15" t="s">
        <v>19</v>
      </c>
      <c r="D289" s="16" t="s">
        <v>20</v>
      </c>
      <c r="E289" s="16" t="s">
        <v>21</v>
      </c>
      <c r="F289" s="16" t="s">
        <v>22</v>
      </c>
      <c r="G289" s="15" t="s">
        <v>23</v>
      </c>
      <c r="H289" s="15" t="s">
        <v>24</v>
      </c>
      <c r="I289" s="48" t="s">
        <v>25</v>
      </c>
      <c r="J289" s="50" t="s">
        <v>9</v>
      </c>
      <c r="K289" s="15" t="s">
        <v>56</v>
      </c>
      <c r="L289" s="347" t="s">
        <v>26</v>
      </c>
      <c r="M289" s="348"/>
      <c r="N289" s="16" t="s">
        <v>27</v>
      </c>
      <c r="O289" s="16" t="s">
        <v>22</v>
      </c>
      <c r="P289" s="15" t="s">
        <v>23</v>
      </c>
      <c r="Q289" s="15" t="s">
        <v>24</v>
      </c>
      <c r="R289" s="15" t="s">
        <v>25</v>
      </c>
    </row>
    <row r="290" spans="1:18" ht="45" customHeight="1">
      <c r="A290" s="6"/>
      <c r="B290" s="37">
        <v>46084</v>
      </c>
      <c r="C290" s="13" t="s">
        <v>16</v>
      </c>
      <c r="D290" s="20"/>
      <c r="E290" s="20"/>
      <c r="F290" s="20"/>
      <c r="G290" s="175">
        <v>0</v>
      </c>
      <c r="H290" s="175">
        <f>Q284</f>
        <v>18617</v>
      </c>
      <c r="I290" s="176">
        <f>G290+H290</f>
        <v>18617</v>
      </c>
      <c r="J290" s="51">
        <f>B290</f>
        <v>46084</v>
      </c>
      <c r="K290" s="27" t="s">
        <v>278</v>
      </c>
      <c r="L290" s="334" t="s">
        <v>313</v>
      </c>
      <c r="M290" s="335"/>
      <c r="N290" s="192" t="s">
        <v>280</v>
      </c>
      <c r="O290" s="20"/>
      <c r="P290" s="175">
        <v>0</v>
      </c>
      <c r="Q290" s="175">
        <v>6000</v>
      </c>
      <c r="R290" s="175">
        <f>Q290</f>
        <v>6000</v>
      </c>
    </row>
    <row r="291" spans="1:18" ht="15.95" customHeight="1">
      <c r="A291" s="6"/>
      <c r="B291" s="23"/>
      <c r="C291" s="20"/>
      <c r="D291" s="20"/>
      <c r="E291" s="20"/>
      <c r="F291" s="20"/>
      <c r="G291" s="175"/>
      <c r="H291" s="175"/>
      <c r="I291" s="176"/>
      <c r="J291" s="52"/>
      <c r="K291" s="41" t="s">
        <v>279</v>
      </c>
      <c r="L291" s="49"/>
      <c r="M291" s="213"/>
      <c r="N291" s="301"/>
      <c r="O291" s="20"/>
      <c r="P291" s="175"/>
      <c r="Q291" s="175"/>
      <c r="R291" s="177"/>
    </row>
    <row r="292" spans="1:18" ht="15.95" customHeight="1">
      <c r="A292" s="6"/>
      <c r="B292" s="23"/>
      <c r="C292" s="42"/>
      <c r="D292" s="25"/>
      <c r="E292" s="25"/>
      <c r="F292" s="25"/>
      <c r="G292" s="179"/>
      <c r="H292" s="180"/>
      <c r="I292" s="181"/>
      <c r="J292" s="53"/>
      <c r="K292" s="27"/>
      <c r="L292" s="219"/>
      <c r="M292" s="26"/>
      <c r="N292" s="301"/>
      <c r="O292" s="28"/>
      <c r="P292" s="175"/>
      <c r="Q292" s="178"/>
      <c r="R292" s="177"/>
    </row>
    <row r="293" spans="1:18" ht="15.95" customHeight="1">
      <c r="A293" s="6"/>
      <c r="B293" s="23"/>
      <c r="C293" s="29"/>
      <c r="D293" s="28"/>
      <c r="E293" s="28"/>
      <c r="F293" s="28"/>
      <c r="G293" s="182"/>
      <c r="H293" s="183"/>
      <c r="I293" s="187"/>
      <c r="J293" s="53"/>
      <c r="K293" s="27"/>
      <c r="L293" s="219"/>
      <c r="M293" s="26"/>
      <c r="N293" s="301"/>
      <c r="O293" s="28"/>
      <c r="P293" s="175"/>
      <c r="Q293" s="178"/>
      <c r="R293" s="177"/>
    </row>
    <row r="294" spans="1:18" ht="15.95" customHeight="1">
      <c r="A294" s="6"/>
      <c r="B294" s="23"/>
      <c r="C294" s="28"/>
      <c r="D294" s="28"/>
      <c r="E294" s="28"/>
      <c r="F294" s="28"/>
      <c r="G294" s="182"/>
      <c r="H294" s="183"/>
      <c r="I294" s="184"/>
      <c r="J294" s="53"/>
      <c r="K294" s="29"/>
      <c r="L294" s="220"/>
      <c r="M294" s="26"/>
      <c r="N294" s="301"/>
      <c r="O294" s="28"/>
      <c r="P294" s="175"/>
      <c r="Q294" s="178"/>
      <c r="R294" s="177"/>
    </row>
    <row r="295" spans="1:18" ht="15.95" customHeight="1">
      <c r="A295" s="6"/>
      <c r="B295" s="23"/>
      <c r="C295" s="29"/>
      <c r="D295" s="28"/>
      <c r="E295" s="28"/>
      <c r="F295" s="28"/>
      <c r="G295" s="183"/>
      <c r="H295" s="183"/>
      <c r="I295" s="184"/>
      <c r="J295" s="53"/>
      <c r="K295" s="29"/>
      <c r="L295" s="220"/>
      <c r="M295" s="26"/>
      <c r="N295" s="28"/>
      <c r="O295" s="28"/>
      <c r="P295" s="175"/>
      <c r="Q295" s="178"/>
      <c r="R295" s="177"/>
    </row>
    <row r="296" spans="1:18" ht="20.100000000000001" customHeight="1">
      <c r="A296" s="6"/>
      <c r="B296" s="23"/>
      <c r="C296" s="20"/>
      <c r="D296" s="20"/>
      <c r="E296" s="20"/>
      <c r="F296" s="20"/>
      <c r="G296" s="175"/>
      <c r="H296" s="175"/>
      <c r="I296" s="176"/>
      <c r="J296" s="52"/>
      <c r="K296" s="30" t="s">
        <v>57</v>
      </c>
      <c r="L296" s="215"/>
      <c r="M296" s="216"/>
      <c r="N296" s="31"/>
      <c r="O296" s="31"/>
      <c r="P296" s="196">
        <f>SUM(P290:P295)</f>
        <v>0</v>
      </c>
      <c r="Q296" s="196">
        <f>Q290</f>
        <v>6000</v>
      </c>
      <c r="R296" s="196">
        <f>P296+Q296</f>
        <v>6000</v>
      </c>
    </row>
    <row r="297" spans="1:18" ht="20.100000000000001" customHeight="1">
      <c r="A297" s="6"/>
      <c r="B297" s="23"/>
      <c r="C297" s="20"/>
      <c r="D297" s="20"/>
      <c r="E297" s="20"/>
      <c r="F297" s="20"/>
      <c r="G297" s="177">
        <f>SUM(G290:G296)</f>
        <v>0</v>
      </c>
      <c r="H297" s="177">
        <f>SUM(H290:H296)</f>
        <v>18617</v>
      </c>
      <c r="I297" s="186">
        <f>SUM(I290:I296)</f>
        <v>18617</v>
      </c>
      <c r="J297" s="52"/>
      <c r="K297" s="30" t="s">
        <v>29</v>
      </c>
      <c r="L297" s="215"/>
      <c r="M297" s="216"/>
      <c r="N297" s="31"/>
      <c r="O297" s="31"/>
      <c r="P297" s="197">
        <v>0</v>
      </c>
      <c r="Q297" s="197">
        <f>H297-Q296</f>
        <v>12617</v>
      </c>
      <c r="R297" s="197">
        <f>I297-R296</f>
        <v>12617</v>
      </c>
    </row>
    <row r="298" spans="1:18" ht="20.100000000000001" customHeight="1">
      <c r="A298" s="6"/>
      <c r="B298" s="23"/>
      <c r="C298" s="20"/>
      <c r="D298" s="20"/>
      <c r="E298" s="20"/>
      <c r="F298" s="20"/>
      <c r="G298" s="20"/>
      <c r="H298" s="20"/>
      <c r="I298" s="49"/>
      <c r="J298" s="52"/>
      <c r="K298" s="30" t="s">
        <v>30</v>
      </c>
      <c r="L298" s="215"/>
      <c r="M298" s="216"/>
      <c r="N298" s="31"/>
      <c r="O298" s="31"/>
      <c r="P298" s="199">
        <f>P296</f>
        <v>0</v>
      </c>
      <c r="Q298" s="199">
        <f>Q296+Q297</f>
        <v>18617</v>
      </c>
      <c r="R298" s="199">
        <f>R296+R297</f>
        <v>18617</v>
      </c>
    </row>
    <row r="299" spans="1:18" ht="63.6" customHeight="1">
      <c r="A299" s="6"/>
      <c r="B299" s="43"/>
      <c r="C299" s="43"/>
      <c r="D299" s="20"/>
      <c r="E299" s="20"/>
      <c r="F299" s="20"/>
      <c r="G299" s="20"/>
      <c r="H299" s="20"/>
      <c r="I299" s="49"/>
      <c r="J299" s="51"/>
      <c r="K299" s="20"/>
      <c r="L299" s="349"/>
      <c r="M299" s="350"/>
      <c r="N299" s="20"/>
      <c r="O299" s="20"/>
      <c r="P299" s="20"/>
      <c r="Q299" s="20"/>
      <c r="R299" s="20"/>
    </row>
    <row r="300" spans="1:18" ht="45" customHeight="1">
      <c r="A300" s="6"/>
      <c r="B300" s="37">
        <v>46084</v>
      </c>
      <c r="C300" s="13" t="s">
        <v>16</v>
      </c>
      <c r="D300" s="20"/>
      <c r="E300" s="20"/>
      <c r="F300" s="20"/>
      <c r="G300" s="175">
        <v>0</v>
      </c>
      <c r="H300" s="175">
        <f>Q297</f>
        <v>12617</v>
      </c>
      <c r="I300" s="176">
        <f>G300+H300</f>
        <v>12617</v>
      </c>
      <c r="J300" s="51">
        <f>B300</f>
        <v>46084</v>
      </c>
      <c r="K300" s="27" t="s">
        <v>278</v>
      </c>
      <c r="L300" s="334" t="s">
        <v>282</v>
      </c>
      <c r="M300" s="335"/>
      <c r="N300" s="192" t="s">
        <v>280</v>
      </c>
      <c r="O300" s="20"/>
      <c r="P300" s="175">
        <v>0</v>
      </c>
      <c r="Q300" s="175">
        <v>11963</v>
      </c>
      <c r="R300" s="175">
        <f>Q300</f>
        <v>11963</v>
      </c>
    </row>
    <row r="301" spans="1:18" ht="15.95" customHeight="1">
      <c r="A301" s="6"/>
      <c r="B301" s="23"/>
      <c r="C301" s="20"/>
      <c r="D301" s="20"/>
      <c r="E301" s="20"/>
      <c r="F301" s="20"/>
      <c r="G301" s="175"/>
      <c r="H301" s="175"/>
      <c r="I301" s="176"/>
      <c r="J301" s="52"/>
      <c r="K301" s="41" t="s">
        <v>281</v>
      </c>
      <c r="L301" s="49"/>
      <c r="M301" s="213"/>
      <c r="N301" s="20"/>
      <c r="O301" s="20"/>
      <c r="P301" s="175"/>
      <c r="Q301" s="175"/>
      <c r="R301" s="177"/>
    </row>
    <row r="302" spans="1:18" ht="15.95" customHeight="1">
      <c r="A302" s="6"/>
      <c r="B302" s="23"/>
      <c r="C302" s="42"/>
      <c r="D302" s="25"/>
      <c r="E302" s="25"/>
      <c r="F302" s="25"/>
      <c r="G302" s="179"/>
      <c r="H302" s="297"/>
      <c r="I302" s="298"/>
      <c r="J302" s="52"/>
      <c r="K302" s="20"/>
      <c r="L302" s="49"/>
      <c r="M302" s="213"/>
      <c r="N302" s="20"/>
      <c r="O302" s="20"/>
      <c r="P302" s="175"/>
      <c r="Q302" s="178"/>
      <c r="R302" s="177"/>
    </row>
    <row r="303" spans="1:18" ht="15.95" customHeight="1">
      <c r="A303" s="6"/>
      <c r="B303" s="23"/>
      <c r="C303" s="20"/>
      <c r="D303" s="20"/>
      <c r="E303" s="20"/>
      <c r="F303" s="20"/>
      <c r="G303" s="182"/>
      <c r="H303" s="183"/>
      <c r="I303" s="184"/>
      <c r="J303" s="52"/>
      <c r="K303" s="20"/>
      <c r="L303" s="49"/>
      <c r="M303" s="213"/>
      <c r="N303" s="20"/>
      <c r="O303" s="20"/>
      <c r="P303" s="175"/>
      <c r="Q303" s="178"/>
      <c r="R303" s="177"/>
    </row>
    <row r="304" spans="1:18" ht="15.95" customHeight="1">
      <c r="A304" s="6"/>
      <c r="B304" s="23"/>
      <c r="C304" s="20"/>
      <c r="D304" s="20"/>
      <c r="E304" s="20"/>
      <c r="F304" s="20"/>
      <c r="G304" s="182"/>
      <c r="H304" s="183"/>
      <c r="I304" s="184"/>
      <c r="J304" s="52"/>
      <c r="K304" s="20"/>
      <c r="L304" s="49"/>
      <c r="M304" s="213"/>
      <c r="N304" s="20"/>
      <c r="O304" s="20"/>
      <c r="P304" s="175"/>
      <c r="Q304" s="178"/>
      <c r="R304" s="177"/>
    </row>
    <row r="305" spans="1:18" ht="15.95" customHeight="1">
      <c r="A305" s="6"/>
      <c r="B305" s="23"/>
      <c r="C305" s="20"/>
      <c r="D305" s="20"/>
      <c r="E305" s="20"/>
      <c r="F305" s="20"/>
      <c r="G305" s="183"/>
      <c r="H305" s="183"/>
      <c r="I305" s="184"/>
      <c r="J305" s="52"/>
      <c r="K305" s="20"/>
      <c r="L305" s="49"/>
      <c r="M305" s="213"/>
      <c r="N305" s="20"/>
      <c r="O305" s="20"/>
      <c r="P305" s="175"/>
      <c r="Q305" s="178"/>
      <c r="R305" s="177"/>
    </row>
    <row r="306" spans="1:18" ht="20.100000000000001" customHeight="1">
      <c r="A306" s="6"/>
      <c r="B306" s="23"/>
      <c r="C306" s="20"/>
      <c r="D306" s="20"/>
      <c r="E306" s="20"/>
      <c r="F306" s="20"/>
      <c r="G306" s="175"/>
      <c r="H306" s="175"/>
      <c r="I306" s="176"/>
      <c r="J306" s="52"/>
      <c r="K306" s="30" t="s">
        <v>57</v>
      </c>
      <c r="L306" s="215"/>
      <c r="M306" s="213"/>
      <c r="N306" s="20"/>
      <c r="O306" s="20"/>
      <c r="P306" s="196">
        <f>SUM(P300:P305)</f>
        <v>0</v>
      </c>
      <c r="Q306" s="196">
        <f>Q300</f>
        <v>11963</v>
      </c>
      <c r="R306" s="196">
        <f>P306+Q306</f>
        <v>11963</v>
      </c>
    </row>
    <row r="307" spans="1:18" ht="20.100000000000001" customHeight="1">
      <c r="A307" s="6"/>
      <c r="B307" s="23"/>
      <c r="C307" s="20"/>
      <c r="D307" s="20"/>
      <c r="E307" s="20"/>
      <c r="F307" s="20"/>
      <c r="G307" s="177">
        <f>SUM(G300:G306)</f>
        <v>0</v>
      </c>
      <c r="H307" s="177">
        <f>SUM(H300:H306)</f>
        <v>12617</v>
      </c>
      <c r="I307" s="186">
        <f>SUM(I300:I306)</f>
        <v>12617</v>
      </c>
      <c r="J307" s="52"/>
      <c r="K307" s="30" t="s">
        <v>29</v>
      </c>
      <c r="L307" s="215"/>
      <c r="M307" s="213"/>
      <c r="N307" s="20"/>
      <c r="O307" s="20"/>
      <c r="P307" s="198">
        <v>0</v>
      </c>
      <c r="Q307" s="198">
        <f>H307-Q306</f>
        <v>654</v>
      </c>
      <c r="R307" s="198">
        <f>I307-R306</f>
        <v>654</v>
      </c>
    </row>
    <row r="308" spans="1:18" ht="20.100000000000001" customHeight="1">
      <c r="A308" s="6"/>
      <c r="B308" s="23"/>
      <c r="C308" s="20"/>
      <c r="D308" s="20"/>
      <c r="E308" s="20"/>
      <c r="F308" s="20"/>
      <c r="G308" s="20"/>
      <c r="H308" s="20"/>
      <c r="I308" s="49"/>
      <c r="J308" s="52"/>
      <c r="K308" s="30" t="s">
        <v>30</v>
      </c>
      <c r="L308" s="215"/>
      <c r="M308" s="213"/>
      <c r="N308" s="20"/>
      <c r="O308" s="20"/>
      <c r="P308" s="199">
        <f>P306</f>
        <v>0</v>
      </c>
      <c r="Q308" s="199">
        <f>Q306+Q307</f>
        <v>12617</v>
      </c>
      <c r="R308" s="199">
        <f>R306+R307</f>
        <v>12617</v>
      </c>
    </row>
    <row r="309" spans="1:18" ht="48" customHeight="1">
      <c r="A309" s="6"/>
      <c r="B309" s="336"/>
      <c r="C309" s="336"/>
      <c r="D309" s="336"/>
      <c r="E309" s="336"/>
      <c r="F309" s="336"/>
      <c r="G309" s="336"/>
      <c r="H309" s="336"/>
      <c r="I309" s="336"/>
      <c r="J309" s="336"/>
      <c r="K309" s="336"/>
      <c r="L309" s="336"/>
      <c r="M309" s="336"/>
      <c r="N309" s="336"/>
      <c r="O309" s="336"/>
      <c r="P309" s="336"/>
      <c r="Q309" s="336"/>
      <c r="R309" s="336"/>
    </row>
    <row r="310" spans="1:18" ht="42.6" customHeight="1">
      <c r="A310" s="6">
        <f ca="1">A310:R331</f>
        <v>0</v>
      </c>
      <c r="B310" s="340" t="s">
        <v>139</v>
      </c>
      <c r="C310" s="341"/>
      <c r="D310" s="341"/>
      <c r="E310" s="341"/>
      <c r="F310" s="341"/>
      <c r="G310" s="341"/>
      <c r="H310" s="341"/>
      <c r="I310" s="341"/>
      <c r="J310" s="341"/>
      <c r="K310" s="341"/>
      <c r="L310" s="341"/>
      <c r="M310" s="341"/>
      <c r="N310" s="341"/>
      <c r="O310" s="341"/>
      <c r="P310" s="341"/>
      <c r="Q310" s="341"/>
      <c r="R310" s="341"/>
    </row>
    <row r="311" spans="1:18" ht="43.5" customHeight="1">
      <c r="A311" s="6"/>
      <c r="B311" s="342"/>
      <c r="C311" s="343"/>
      <c r="D311" s="343"/>
      <c r="E311" s="343"/>
      <c r="F311" s="343"/>
      <c r="G311" s="343"/>
      <c r="H311" s="343"/>
      <c r="I311" s="344"/>
      <c r="J311" s="345"/>
      <c r="K311" s="345"/>
      <c r="L311" s="345"/>
      <c r="M311" s="345"/>
      <c r="N311" s="345"/>
      <c r="O311" s="345"/>
      <c r="P311" s="345"/>
      <c r="Q311" s="345"/>
      <c r="R311" s="346"/>
    </row>
    <row r="312" spans="1:18" ht="66" customHeight="1">
      <c r="A312" s="6"/>
      <c r="B312" s="15" t="s">
        <v>9</v>
      </c>
      <c r="C312" s="15" t="s">
        <v>19</v>
      </c>
      <c r="D312" s="16" t="s">
        <v>20</v>
      </c>
      <c r="E312" s="16" t="s">
        <v>21</v>
      </c>
      <c r="F312" s="16" t="s">
        <v>22</v>
      </c>
      <c r="G312" s="15" t="s">
        <v>23</v>
      </c>
      <c r="H312" s="15" t="s">
        <v>24</v>
      </c>
      <c r="I312" s="48" t="s">
        <v>25</v>
      </c>
      <c r="J312" s="50" t="s">
        <v>9</v>
      </c>
      <c r="K312" s="15" t="s">
        <v>56</v>
      </c>
      <c r="L312" s="347" t="s">
        <v>26</v>
      </c>
      <c r="M312" s="348"/>
      <c r="N312" s="16" t="s">
        <v>27</v>
      </c>
      <c r="O312" s="16" t="s">
        <v>22</v>
      </c>
      <c r="P312" s="15" t="s">
        <v>23</v>
      </c>
      <c r="Q312" s="15" t="s">
        <v>24</v>
      </c>
      <c r="R312" s="15" t="s">
        <v>25</v>
      </c>
    </row>
    <row r="313" spans="1:18" ht="45" customHeight="1">
      <c r="A313" s="6"/>
      <c r="B313" s="37" t="s">
        <v>314</v>
      </c>
      <c r="C313" s="13" t="s">
        <v>16</v>
      </c>
      <c r="D313" s="20"/>
      <c r="E313" s="20"/>
      <c r="F313" s="20"/>
      <c r="G313" s="175">
        <v>0</v>
      </c>
      <c r="H313" s="175">
        <f>Q307</f>
        <v>654</v>
      </c>
      <c r="I313" s="176">
        <f>G313+H313</f>
        <v>654</v>
      </c>
      <c r="J313" s="51" t="str">
        <f>B313</f>
        <v>04/03/2026   TO   17/03/2026</v>
      </c>
      <c r="K313" s="40" t="s">
        <v>28</v>
      </c>
      <c r="L313" s="334"/>
      <c r="M313" s="335"/>
      <c r="N313" s="192"/>
      <c r="O313" s="20"/>
      <c r="P313" s="175">
        <v>0</v>
      </c>
      <c r="Q313" s="175">
        <v>0</v>
      </c>
      <c r="R313" s="175">
        <f>Q313</f>
        <v>0</v>
      </c>
    </row>
    <row r="314" spans="1:18" ht="15.95" customHeight="1">
      <c r="A314" s="6"/>
      <c r="B314" s="23"/>
      <c r="C314" s="20"/>
      <c r="D314" s="20"/>
      <c r="E314" s="20"/>
      <c r="F314" s="20"/>
      <c r="G314" s="175"/>
      <c r="H314" s="175"/>
      <c r="I314" s="176"/>
      <c r="J314" s="52"/>
      <c r="K314" s="41"/>
      <c r="L314" s="49"/>
      <c r="M314" s="213"/>
      <c r="N314" s="301"/>
      <c r="O314" s="20"/>
      <c r="P314" s="175"/>
      <c r="Q314" s="175"/>
      <c r="R314" s="177"/>
    </row>
    <row r="315" spans="1:18" ht="15.95" customHeight="1">
      <c r="A315" s="6"/>
      <c r="B315" s="23"/>
      <c r="C315" s="42"/>
      <c r="D315" s="25"/>
      <c r="E315" s="25"/>
      <c r="F315" s="25"/>
      <c r="G315" s="179"/>
      <c r="H315" s="180"/>
      <c r="I315" s="181"/>
      <c r="J315" s="53"/>
      <c r="K315" s="27"/>
      <c r="L315" s="219"/>
      <c r="M315" s="26"/>
      <c r="N315" s="301"/>
      <c r="O315" s="28"/>
      <c r="P315" s="175"/>
      <c r="Q315" s="178"/>
      <c r="R315" s="177"/>
    </row>
    <row r="316" spans="1:18" ht="15.95" customHeight="1">
      <c r="A316" s="6"/>
      <c r="B316" s="23"/>
      <c r="C316" s="29"/>
      <c r="D316" s="28"/>
      <c r="E316" s="28"/>
      <c r="F316" s="28"/>
      <c r="G316" s="182"/>
      <c r="H316" s="183"/>
      <c r="I316" s="187"/>
      <c r="J316" s="53"/>
      <c r="K316" s="27"/>
      <c r="L316" s="219"/>
      <c r="M316" s="26"/>
      <c r="N316" s="301"/>
      <c r="O316" s="28"/>
      <c r="P316" s="175"/>
      <c r="Q316" s="178"/>
      <c r="R316" s="177"/>
    </row>
    <row r="317" spans="1:18" ht="15.95" customHeight="1">
      <c r="A317" s="6"/>
      <c r="B317" s="23"/>
      <c r="C317" s="28"/>
      <c r="D317" s="28"/>
      <c r="E317" s="28"/>
      <c r="F317" s="28"/>
      <c r="G317" s="182"/>
      <c r="H317" s="183"/>
      <c r="I317" s="184"/>
      <c r="J317" s="53"/>
      <c r="K317" s="29"/>
      <c r="L317" s="220"/>
      <c r="M317" s="26"/>
      <c r="N317" s="301"/>
      <c r="O317" s="28"/>
      <c r="P317" s="175"/>
      <c r="Q317" s="178"/>
      <c r="R317" s="177"/>
    </row>
    <row r="318" spans="1:18" ht="15.95" customHeight="1">
      <c r="A318" s="6"/>
      <c r="B318" s="23"/>
      <c r="C318" s="29"/>
      <c r="D318" s="28"/>
      <c r="E318" s="28"/>
      <c r="F318" s="28"/>
      <c r="G318" s="183"/>
      <c r="H318" s="183"/>
      <c r="I318" s="184"/>
      <c r="J318" s="53"/>
      <c r="K318" s="29"/>
      <c r="L318" s="220"/>
      <c r="M318" s="26"/>
      <c r="N318" s="28"/>
      <c r="O318" s="28"/>
      <c r="P318" s="175"/>
      <c r="Q318" s="178"/>
      <c r="R318" s="177"/>
    </row>
    <row r="319" spans="1:18" ht="20.100000000000001" customHeight="1">
      <c r="A319" s="6"/>
      <c r="B319" s="23"/>
      <c r="C319" s="20"/>
      <c r="D319" s="20"/>
      <c r="E319" s="20"/>
      <c r="F319" s="20"/>
      <c r="G319" s="175"/>
      <c r="H319" s="175"/>
      <c r="I319" s="176"/>
      <c r="J319" s="52"/>
      <c r="K319" s="30" t="s">
        <v>57</v>
      </c>
      <c r="L319" s="215"/>
      <c r="M319" s="216"/>
      <c r="N319" s="31"/>
      <c r="O319" s="31"/>
      <c r="P319" s="196">
        <f>SUM(P313:P318)</f>
        <v>0</v>
      </c>
      <c r="Q319" s="196">
        <f>Q313</f>
        <v>0</v>
      </c>
      <c r="R319" s="196">
        <f>P319+Q319</f>
        <v>0</v>
      </c>
    </row>
    <row r="320" spans="1:18" ht="20.100000000000001" customHeight="1">
      <c r="A320" s="6"/>
      <c r="B320" s="23"/>
      <c r="C320" s="20"/>
      <c r="D320" s="20"/>
      <c r="E320" s="20"/>
      <c r="F320" s="20"/>
      <c r="G320" s="177">
        <f>SUM(G313:G319)</f>
        <v>0</v>
      </c>
      <c r="H320" s="177">
        <f>SUM(H313:H319)</f>
        <v>654</v>
      </c>
      <c r="I320" s="186">
        <f>SUM(I313:I319)</f>
        <v>654</v>
      </c>
      <c r="J320" s="52"/>
      <c r="K320" s="30" t="s">
        <v>29</v>
      </c>
      <c r="L320" s="215"/>
      <c r="M320" s="216"/>
      <c r="N320" s="31"/>
      <c r="O320" s="31"/>
      <c r="P320" s="197">
        <v>0</v>
      </c>
      <c r="Q320" s="197">
        <f>H320-Q319</f>
        <v>654</v>
      </c>
      <c r="R320" s="197">
        <f>I320-R319</f>
        <v>654</v>
      </c>
    </row>
    <row r="321" spans="1:18" ht="20.100000000000001" customHeight="1">
      <c r="A321" s="6"/>
      <c r="B321" s="23"/>
      <c r="C321" s="20"/>
      <c r="D321" s="20"/>
      <c r="E321" s="20"/>
      <c r="F321" s="20"/>
      <c r="G321" s="20"/>
      <c r="H321" s="20"/>
      <c r="I321" s="49"/>
      <c r="J321" s="52"/>
      <c r="K321" s="30" t="s">
        <v>30</v>
      </c>
      <c r="L321" s="215"/>
      <c r="M321" s="216"/>
      <c r="N321" s="31"/>
      <c r="O321" s="31"/>
      <c r="P321" s="199">
        <f>P319</f>
        <v>0</v>
      </c>
      <c r="Q321" s="199">
        <f>Q319+Q320</f>
        <v>654</v>
      </c>
      <c r="R321" s="199">
        <f>R319+R320</f>
        <v>654</v>
      </c>
    </row>
    <row r="322" spans="1:18" ht="63.6" customHeight="1">
      <c r="A322" s="6"/>
      <c r="B322" s="43"/>
      <c r="C322" s="43"/>
      <c r="D322" s="20"/>
      <c r="E322" s="20"/>
      <c r="F322" s="20"/>
      <c r="G322" s="20"/>
      <c r="H322" s="20"/>
      <c r="I322" s="49"/>
      <c r="J322" s="51"/>
      <c r="K322" s="20"/>
      <c r="L322" s="349"/>
      <c r="M322" s="350"/>
      <c r="N322" s="20"/>
      <c r="O322" s="20"/>
      <c r="P322" s="20"/>
      <c r="Q322" s="20"/>
      <c r="R322" s="20"/>
    </row>
    <row r="323" spans="1:18" ht="45" customHeight="1">
      <c r="A323" s="6"/>
      <c r="B323" s="37" t="s">
        <v>315</v>
      </c>
      <c r="C323" s="13" t="s">
        <v>16</v>
      </c>
      <c r="D323" s="20"/>
      <c r="E323" s="20"/>
      <c r="F323" s="20"/>
      <c r="G323" s="175">
        <v>0</v>
      </c>
      <c r="H323" s="175">
        <f>Q320</f>
        <v>654</v>
      </c>
      <c r="I323" s="176">
        <f>G323+H323</f>
        <v>654</v>
      </c>
      <c r="J323" s="51" t="str">
        <f>B323</f>
        <v>18/03/2026</v>
      </c>
      <c r="K323" s="40" t="s">
        <v>28</v>
      </c>
      <c r="L323" s="334"/>
      <c r="M323" s="335"/>
      <c r="N323" s="192"/>
      <c r="O323" s="20"/>
      <c r="P323" s="175">
        <v>0</v>
      </c>
      <c r="Q323" s="175">
        <v>0</v>
      </c>
      <c r="R323" s="175">
        <f>Q323</f>
        <v>0</v>
      </c>
    </row>
    <row r="324" spans="1:18" ht="15.95" customHeight="1">
      <c r="A324" s="6"/>
      <c r="B324" s="23"/>
      <c r="C324" s="20"/>
      <c r="D324" s="20"/>
      <c r="E324" s="20"/>
      <c r="F324" s="20"/>
      <c r="G324" s="175"/>
      <c r="H324" s="175"/>
      <c r="I324" s="176"/>
      <c r="J324" s="52"/>
      <c r="K324" s="41"/>
      <c r="L324" s="49"/>
      <c r="M324" s="213"/>
      <c r="N324" s="20"/>
      <c r="O324" s="20"/>
      <c r="P324" s="175"/>
      <c r="Q324" s="175"/>
      <c r="R324" s="177"/>
    </row>
    <row r="325" spans="1:18" ht="15.95" customHeight="1">
      <c r="A325" s="6"/>
      <c r="B325" s="23"/>
      <c r="C325" s="42" t="s">
        <v>71</v>
      </c>
      <c r="D325" s="20"/>
      <c r="E325" s="20"/>
      <c r="F325" s="20"/>
      <c r="G325" s="180">
        <v>0</v>
      </c>
      <c r="H325" s="180">
        <v>3000</v>
      </c>
      <c r="I325" s="181">
        <f t="shared" ref="I325" si="3">H325</f>
        <v>3000</v>
      </c>
      <c r="J325" s="52"/>
      <c r="K325" s="20"/>
      <c r="L325" s="49"/>
      <c r="M325" s="213"/>
      <c r="N325" s="20"/>
      <c r="O325" s="20"/>
      <c r="P325" s="175"/>
      <c r="Q325" s="178"/>
      <c r="R325" s="177"/>
    </row>
    <row r="326" spans="1:18" ht="15.95" customHeight="1">
      <c r="A326" s="6"/>
      <c r="B326" s="23"/>
      <c r="C326" s="20"/>
      <c r="D326" s="20"/>
      <c r="E326" s="20"/>
      <c r="F326" s="20"/>
      <c r="G326" s="182"/>
      <c r="H326" s="183"/>
      <c r="I326" s="184"/>
      <c r="J326" s="52"/>
      <c r="K326" s="20"/>
      <c r="L326" s="49"/>
      <c r="M326" s="213"/>
      <c r="N326" s="20"/>
      <c r="O326" s="20"/>
      <c r="P326" s="175"/>
      <c r="Q326" s="178"/>
      <c r="R326" s="177"/>
    </row>
    <row r="327" spans="1:18" ht="15.95" customHeight="1">
      <c r="A327" s="6"/>
      <c r="B327" s="23"/>
      <c r="C327" s="20"/>
      <c r="D327" s="20"/>
      <c r="E327" s="20"/>
      <c r="F327" s="20"/>
      <c r="G327" s="182"/>
      <c r="H327" s="183"/>
      <c r="I327" s="184"/>
      <c r="J327" s="52"/>
      <c r="K327" s="20"/>
      <c r="L327" s="49"/>
      <c r="M327" s="213"/>
      <c r="N327" s="20"/>
      <c r="O327" s="20"/>
      <c r="P327" s="175"/>
      <c r="Q327" s="178"/>
      <c r="R327" s="177"/>
    </row>
    <row r="328" spans="1:18" ht="15.95" customHeight="1">
      <c r="A328" s="6"/>
      <c r="B328" s="23"/>
      <c r="C328" s="20"/>
      <c r="D328" s="20"/>
      <c r="E328" s="20"/>
      <c r="F328" s="20"/>
      <c r="G328" s="183"/>
      <c r="H328" s="183"/>
      <c r="I328" s="184"/>
      <c r="J328" s="52"/>
      <c r="K328" s="20"/>
      <c r="L328" s="49"/>
      <c r="M328" s="213"/>
      <c r="N328" s="20"/>
      <c r="O328" s="20"/>
      <c r="P328" s="175"/>
      <c r="Q328" s="178"/>
      <c r="R328" s="177"/>
    </row>
    <row r="329" spans="1:18" ht="20.100000000000001" customHeight="1">
      <c r="A329" s="6"/>
      <c r="B329" s="23"/>
      <c r="C329" s="20"/>
      <c r="D329" s="20"/>
      <c r="E329" s="20"/>
      <c r="F329" s="20"/>
      <c r="G329" s="175"/>
      <c r="H329" s="175"/>
      <c r="I329" s="176"/>
      <c r="J329" s="52"/>
      <c r="K329" s="30" t="s">
        <v>57</v>
      </c>
      <c r="L329" s="215"/>
      <c r="M329" s="213"/>
      <c r="N329" s="20"/>
      <c r="O329" s="20"/>
      <c r="P329" s="196">
        <f>SUM(P323:P328)</f>
        <v>0</v>
      </c>
      <c r="Q329" s="196">
        <f>Q323</f>
        <v>0</v>
      </c>
      <c r="R329" s="196">
        <f>P329+Q329</f>
        <v>0</v>
      </c>
    </row>
    <row r="330" spans="1:18" ht="20.100000000000001" customHeight="1">
      <c r="A330" s="6"/>
      <c r="B330" s="23"/>
      <c r="C330" s="20"/>
      <c r="D330" s="20"/>
      <c r="E330" s="20"/>
      <c r="F330" s="20"/>
      <c r="G330" s="177">
        <f>SUM(G323:G329)</f>
        <v>0</v>
      </c>
      <c r="H330" s="177">
        <f>SUM(H323:H329)</f>
        <v>3654</v>
      </c>
      <c r="I330" s="186">
        <f>SUM(I323:I329)</f>
        <v>3654</v>
      </c>
      <c r="J330" s="52"/>
      <c r="K330" s="30" t="s">
        <v>29</v>
      </c>
      <c r="L330" s="215"/>
      <c r="M330" s="213"/>
      <c r="N330" s="20"/>
      <c r="O330" s="20"/>
      <c r="P330" s="198">
        <v>0</v>
      </c>
      <c r="Q330" s="198">
        <f>H330-Q329</f>
        <v>3654</v>
      </c>
      <c r="R330" s="198">
        <f>I330-R329</f>
        <v>3654</v>
      </c>
    </row>
    <row r="331" spans="1:18" ht="20.100000000000001" customHeight="1">
      <c r="A331" s="6"/>
      <c r="B331" s="23"/>
      <c r="C331" s="20"/>
      <c r="D331" s="20"/>
      <c r="E331" s="20"/>
      <c r="F331" s="20"/>
      <c r="G331" s="20"/>
      <c r="H331" s="20"/>
      <c r="I331" s="49"/>
      <c r="J331" s="52"/>
      <c r="K331" s="30" t="s">
        <v>30</v>
      </c>
      <c r="L331" s="215"/>
      <c r="M331" s="213"/>
      <c r="N331" s="20"/>
      <c r="O331" s="20"/>
      <c r="P331" s="199">
        <f>P329</f>
        <v>0</v>
      </c>
      <c r="Q331" s="199">
        <f>Q329+Q330</f>
        <v>3654</v>
      </c>
      <c r="R331" s="199">
        <f>R329+R330</f>
        <v>3654</v>
      </c>
    </row>
    <row r="332" spans="1:18" ht="48" customHeight="1">
      <c r="A332" s="6"/>
      <c r="B332" s="336"/>
      <c r="C332" s="336"/>
      <c r="D332" s="336"/>
      <c r="E332" s="336"/>
      <c r="F332" s="336"/>
      <c r="G332" s="336"/>
      <c r="H332" s="336"/>
      <c r="I332" s="336"/>
      <c r="J332" s="336"/>
      <c r="K332" s="336"/>
      <c r="L332" s="336"/>
      <c r="M332" s="336"/>
      <c r="N332" s="336"/>
      <c r="O332" s="336"/>
      <c r="P332" s="336"/>
      <c r="Q332" s="336"/>
      <c r="R332" s="336"/>
    </row>
    <row r="333" spans="1:18" ht="42.6" customHeight="1">
      <c r="A333" s="6">
        <f ca="1">A333:R355</f>
        <v>0</v>
      </c>
      <c r="B333" s="340" t="s">
        <v>139</v>
      </c>
      <c r="C333" s="341"/>
      <c r="D333" s="341"/>
      <c r="E333" s="341"/>
      <c r="F333" s="341"/>
      <c r="G333" s="341"/>
      <c r="H333" s="341"/>
      <c r="I333" s="341"/>
      <c r="J333" s="341"/>
      <c r="K333" s="341"/>
      <c r="L333" s="341"/>
      <c r="M333" s="341"/>
      <c r="N333" s="341"/>
      <c r="O333" s="341"/>
      <c r="P333" s="341"/>
      <c r="Q333" s="341"/>
      <c r="R333" s="341"/>
    </row>
    <row r="334" spans="1:18" ht="43.5" customHeight="1">
      <c r="A334" s="6"/>
      <c r="B334" s="342"/>
      <c r="C334" s="343"/>
      <c r="D334" s="343"/>
      <c r="E334" s="343"/>
      <c r="F334" s="343"/>
      <c r="G334" s="343"/>
      <c r="H334" s="343"/>
      <c r="I334" s="344"/>
      <c r="J334" s="345"/>
      <c r="K334" s="345"/>
      <c r="L334" s="345"/>
      <c r="M334" s="345"/>
      <c r="N334" s="345"/>
      <c r="O334" s="345"/>
      <c r="P334" s="345"/>
      <c r="Q334" s="345"/>
      <c r="R334" s="346"/>
    </row>
    <row r="335" spans="1:18" ht="66" customHeight="1">
      <c r="A335" s="6"/>
      <c r="B335" s="15" t="s">
        <v>9</v>
      </c>
      <c r="C335" s="15" t="s">
        <v>19</v>
      </c>
      <c r="D335" s="16" t="s">
        <v>20</v>
      </c>
      <c r="E335" s="16" t="s">
        <v>21</v>
      </c>
      <c r="F335" s="16" t="s">
        <v>22</v>
      </c>
      <c r="G335" s="15" t="s">
        <v>23</v>
      </c>
      <c r="H335" s="15" t="s">
        <v>24</v>
      </c>
      <c r="I335" s="48" t="s">
        <v>25</v>
      </c>
      <c r="J335" s="50" t="s">
        <v>9</v>
      </c>
      <c r="K335" s="15" t="s">
        <v>56</v>
      </c>
      <c r="L335" s="347" t="s">
        <v>26</v>
      </c>
      <c r="M335" s="348"/>
      <c r="N335" s="16" t="s">
        <v>27</v>
      </c>
      <c r="O335" s="16" t="s">
        <v>22</v>
      </c>
      <c r="P335" s="15" t="s">
        <v>23</v>
      </c>
      <c r="Q335" s="15" t="s">
        <v>24</v>
      </c>
      <c r="R335" s="15" t="s">
        <v>25</v>
      </c>
    </row>
    <row r="336" spans="1:18" ht="45" customHeight="1">
      <c r="A336" s="6"/>
      <c r="B336" s="37" t="s">
        <v>312</v>
      </c>
      <c r="C336" s="13" t="s">
        <v>16</v>
      </c>
      <c r="D336" s="20"/>
      <c r="E336" s="20"/>
      <c r="F336" s="20"/>
      <c r="G336" s="175">
        <v>0</v>
      </c>
      <c r="H336" s="175">
        <f>Q330</f>
        <v>3654</v>
      </c>
      <c r="I336" s="176">
        <f>G336+H336</f>
        <v>3654</v>
      </c>
      <c r="J336" s="51" t="str">
        <f>B336</f>
        <v>23/03/2026</v>
      </c>
      <c r="K336" s="40" t="s">
        <v>316</v>
      </c>
      <c r="L336" s="334" t="s">
        <v>317</v>
      </c>
      <c r="M336" s="335"/>
      <c r="N336" s="192" t="s">
        <v>318</v>
      </c>
      <c r="O336" s="20"/>
      <c r="P336" s="175">
        <v>0</v>
      </c>
      <c r="Q336" s="175">
        <v>3500</v>
      </c>
      <c r="R336" s="175">
        <f>Q336</f>
        <v>3500</v>
      </c>
    </row>
    <row r="337" spans="1:18" ht="15.95" customHeight="1">
      <c r="A337" s="6"/>
      <c r="B337" s="23"/>
      <c r="C337" s="20"/>
      <c r="D337" s="20"/>
      <c r="E337" s="20"/>
      <c r="F337" s="20"/>
      <c r="G337" s="175"/>
      <c r="H337" s="175"/>
      <c r="I337" s="176"/>
      <c r="J337" s="52"/>
      <c r="K337" s="222" t="s">
        <v>79</v>
      </c>
      <c r="L337" s="223"/>
      <c r="M337" s="211"/>
      <c r="N337" s="301"/>
      <c r="O337" s="20"/>
      <c r="P337" s="175"/>
      <c r="Q337" s="175"/>
      <c r="R337" s="177"/>
    </row>
    <row r="338" spans="1:18" ht="15.95" customHeight="1">
      <c r="A338" s="6"/>
      <c r="B338" s="23"/>
      <c r="C338" s="29"/>
      <c r="D338" s="28"/>
      <c r="E338" s="28"/>
      <c r="F338" s="28"/>
      <c r="G338" s="182"/>
      <c r="H338" s="183"/>
      <c r="I338" s="187"/>
      <c r="J338" s="53"/>
      <c r="K338" s="100" t="s">
        <v>213</v>
      </c>
      <c r="L338" s="221">
        <v>45870</v>
      </c>
      <c r="M338" s="224">
        <v>45815</v>
      </c>
      <c r="N338" s="301"/>
      <c r="O338" s="28"/>
      <c r="P338" s="175">
        <v>500</v>
      </c>
      <c r="Q338" s="178"/>
      <c r="R338" s="177">
        <f>P338</f>
        <v>500</v>
      </c>
    </row>
    <row r="339" spans="1:18" ht="15.95" customHeight="1">
      <c r="A339" s="6"/>
      <c r="B339" s="23"/>
      <c r="C339" s="29"/>
      <c r="D339" s="28"/>
      <c r="E339" s="28"/>
      <c r="F339" s="28"/>
      <c r="G339" s="182"/>
      <c r="H339" s="183"/>
      <c r="I339" s="187"/>
      <c r="J339" s="53"/>
      <c r="K339" s="118" t="s">
        <v>156</v>
      </c>
      <c r="L339" s="221">
        <v>45871</v>
      </c>
      <c r="M339" s="224">
        <v>45937</v>
      </c>
      <c r="N339" s="301"/>
      <c r="O339" s="28"/>
      <c r="P339" s="175">
        <v>500</v>
      </c>
      <c r="Q339" s="178"/>
      <c r="R339" s="177">
        <f t="shared" ref="R339:R344" si="4">P339</f>
        <v>500</v>
      </c>
    </row>
    <row r="340" spans="1:18" ht="15.95" customHeight="1">
      <c r="A340" s="6"/>
      <c r="B340" s="23"/>
      <c r="C340" s="29"/>
      <c r="D340" s="28"/>
      <c r="E340" s="28"/>
      <c r="F340" s="28"/>
      <c r="G340" s="182"/>
      <c r="H340" s="183"/>
      <c r="I340" s="187"/>
      <c r="J340" s="53"/>
      <c r="K340" s="100" t="s">
        <v>213</v>
      </c>
      <c r="L340" s="221">
        <v>45872</v>
      </c>
      <c r="M340" s="224">
        <v>45938</v>
      </c>
      <c r="N340" s="301"/>
      <c r="O340" s="28"/>
      <c r="P340" s="175">
        <v>500</v>
      </c>
      <c r="Q340" s="178"/>
      <c r="R340" s="177">
        <f t="shared" si="4"/>
        <v>500</v>
      </c>
    </row>
    <row r="341" spans="1:18" ht="15.95" customHeight="1">
      <c r="A341" s="6"/>
      <c r="B341" s="23"/>
      <c r="C341" s="29"/>
      <c r="D341" s="28"/>
      <c r="E341" s="28"/>
      <c r="F341" s="28"/>
      <c r="G341" s="182"/>
      <c r="H341" s="183"/>
      <c r="I341" s="187"/>
      <c r="J341" s="53"/>
      <c r="K341" s="118" t="s">
        <v>156</v>
      </c>
      <c r="L341" s="221">
        <v>45873</v>
      </c>
      <c r="M341" s="224" t="s">
        <v>322</v>
      </c>
      <c r="N341" s="301"/>
      <c r="O341" s="28"/>
      <c r="P341" s="175">
        <v>500</v>
      </c>
      <c r="Q341" s="178"/>
      <c r="R341" s="177">
        <f t="shared" si="4"/>
        <v>500</v>
      </c>
    </row>
    <row r="342" spans="1:18" ht="15.95" customHeight="1">
      <c r="A342" s="6"/>
      <c r="B342" s="23"/>
      <c r="C342" s="28"/>
      <c r="D342" s="28"/>
      <c r="E342" s="28"/>
      <c r="F342" s="28"/>
      <c r="G342" s="182"/>
      <c r="H342" s="183"/>
      <c r="I342" s="184"/>
      <c r="J342" s="53"/>
      <c r="K342" s="100" t="s">
        <v>320</v>
      </c>
      <c r="L342" s="221">
        <v>45874</v>
      </c>
      <c r="M342" s="224">
        <v>45725</v>
      </c>
      <c r="N342" s="301"/>
      <c r="O342" s="28"/>
      <c r="P342" s="175">
        <v>500</v>
      </c>
      <c r="Q342" s="178"/>
      <c r="R342" s="177">
        <f t="shared" si="4"/>
        <v>500</v>
      </c>
    </row>
    <row r="343" spans="1:18" ht="15.95" customHeight="1">
      <c r="A343" s="6"/>
      <c r="B343" s="23"/>
      <c r="C343" s="28"/>
      <c r="D343" s="28"/>
      <c r="E343" s="28"/>
      <c r="F343" s="28"/>
      <c r="G343" s="182"/>
      <c r="H343" s="183"/>
      <c r="I343" s="184"/>
      <c r="J343" s="53"/>
      <c r="K343" s="118" t="s">
        <v>156</v>
      </c>
      <c r="L343" s="221">
        <v>45875</v>
      </c>
      <c r="M343" s="224">
        <v>45939</v>
      </c>
      <c r="N343" s="301"/>
      <c r="O343" s="28"/>
      <c r="P343" s="175">
        <v>500</v>
      </c>
      <c r="Q343" s="178"/>
      <c r="R343" s="177">
        <f t="shared" si="4"/>
        <v>500</v>
      </c>
    </row>
    <row r="344" spans="1:18" ht="15.95" customHeight="1">
      <c r="A344" s="6"/>
      <c r="B344" s="23"/>
      <c r="C344" s="195" t="s">
        <v>142</v>
      </c>
      <c r="D344" s="28"/>
      <c r="E344" s="28"/>
      <c r="F344" s="182"/>
      <c r="G344" s="185">
        <v>1700</v>
      </c>
      <c r="H344" s="193">
        <v>0</v>
      </c>
      <c r="I344" s="194">
        <f>G344</f>
        <v>1700</v>
      </c>
      <c r="J344" s="53"/>
      <c r="K344" s="118" t="s">
        <v>231</v>
      </c>
      <c r="L344" s="221">
        <v>45876</v>
      </c>
      <c r="M344" s="224" t="s">
        <v>321</v>
      </c>
      <c r="N344" s="28"/>
      <c r="O344" s="28"/>
      <c r="P344" s="175">
        <v>500</v>
      </c>
      <c r="Q344" s="178"/>
      <c r="R344" s="177">
        <f t="shared" si="4"/>
        <v>500</v>
      </c>
    </row>
    <row r="345" spans="1:18" ht="20.100000000000001" customHeight="1">
      <c r="A345" s="6"/>
      <c r="B345" s="23"/>
      <c r="C345" s="20"/>
      <c r="D345" s="20"/>
      <c r="E345" s="20"/>
      <c r="F345" s="20"/>
      <c r="G345" s="175"/>
      <c r="H345" s="175"/>
      <c r="I345" s="176"/>
      <c r="J345" s="52"/>
      <c r="K345" s="30" t="s">
        <v>57</v>
      </c>
      <c r="L345" s="215"/>
      <c r="M345" s="216"/>
      <c r="N345" s="31"/>
      <c r="O345" s="31"/>
      <c r="P345" s="196">
        <f>SUM(P336:P344)</f>
        <v>3500</v>
      </c>
      <c r="Q345" s="196">
        <f>Q336</f>
        <v>3500</v>
      </c>
      <c r="R345" s="196">
        <f>P345+Q345</f>
        <v>7000</v>
      </c>
    </row>
    <row r="346" spans="1:18" ht="20.100000000000001" customHeight="1">
      <c r="A346" s="6"/>
      <c r="B346" s="23"/>
      <c r="C346" s="20"/>
      <c r="D346" s="20"/>
      <c r="E346" s="20"/>
      <c r="F346" s="20"/>
      <c r="G346" s="177">
        <f>SUM(G336:G345)</f>
        <v>1700</v>
      </c>
      <c r="H346" s="177">
        <f>SUM(H336:H345)</f>
        <v>3654</v>
      </c>
      <c r="I346" s="186">
        <f>SUM(I336:I345)</f>
        <v>5354</v>
      </c>
      <c r="J346" s="52"/>
      <c r="K346" s="30" t="s">
        <v>29</v>
      </c>
      <c r="L346" s="215"/>
      <c r="M346" s="216"/>
      <c r="N346" s="31"/>
      <c r="O346" s="31"/>
      <c r="P346" s="197">
        <v>0</v>
      </c>
      <c r="Q346" s="197">
        <f>H346-Q345</f>
        <v>154</v>
      </c>
      <c r="R346" s="197">
        <f>I346-R345</f>
        <v>-1646</v>
      </c>
    </row>
    <row r="347" spans="1:18" ht="20.100000000000001" customHeight="1">
      <c r="A347" s="6"/>
      <c r="B347" s="23"/>
      <c r="C347" s="20"/>
      <c r="D347" s="20"/>
      <c r="E347" s="20"/>
      <c r="F347" s="20"/>
      <c r="G347" s="20"/>
      <c r="H347" s="20"/>
      <c r="I347" s="49"/>
      <c r="J347" s="52"/>
      <c r="K347" s="30" t="s">
        <v>30</v>
      </c>
      <c r="L347" s="215"/>
      <c r="M347" s="216"/>
      <c r="N347" s="31"/>
      <c r="O347" s="31"/>
      <c r="P347" s="199">
        <f>P345</f>
        <v>3500</v>
      </c>
      <c r="Q347" s="199">
        <f>Q345+Q346</f>
        <v>3654</v>
      </c>
      <c r="R347" s="199">
        <f>R345+R346</f>
        <v>5354</v>
      </c>
    </row>
    <row r="348" spans="1:18" ht="44.25" customHeight="1">
      <c r="A348" s="6"/>
      <c r="B348" s="43"/>
      <c r="C348" s="43"/>
      <c r="D348" s="20"/>
      <c r="E348" s="20"/>
      <c r="F348" s="20"/>
      <c r="G348" s="20"/>
      <c r="H348" s="20"/>
      <c r="I348" s="49"/>
      <c r="J348" s="51"/>
      <c r="K348" s="20"/>
      <c r="L348" s="349"/>
      <c r="M348" s="350"/>
      <c r="N348" s="20"/>
      <c r="O348" s="20"/>
      <c r="P348" s="20"/>
      <c r="Q348" s="20"/>
      <c r="R348" s="20"/>
    </row>
    <row r="349" spans="1:18" ht="45" customHeight="1">
      <c r="A349" s="6"/>
      <c r="B349" s="37" t="s">
        <v>319</v>
      </c>
      <c r="C349" s="13" t="s">
        <v>16</v>
      </c>
      <c r="D349" s="20"/>
      <c r="E349" s="20"/>
      <c r="F349" s="20"/>
      <c r="G349" s="175">
        <v>0</v>
      </c>
      <c r="H349" s="175">
        <f>Q346</f>
        <v>154</v>
      </c>
      <c r="I349" s="176">
        <f>G349+H349</f>
        <v>154</v>
      </c>
      <c r="J349" s="51" t="str">
        <f>B349</f>
        <v>24/03/2026    TO   30/03/2026</v>
      </c>
      <c r="K349" s="40" t="s">
        <v>28</v>
      </c>
      <c r="L349" s="334"/>
      <c r="M349" s="335"/>
      <c r="N349" s="192"/>
      <c r="O349" s="20"/>
      <c r="P349" s="175">
        <v>0</v>
      </c>
      <c r="Q349" s="175">
        <v>0</v>
      </c>
      <c r="R349" s="175">
        <f>Q349</f>
        <v>0</v>
      </c>
    </row>
    <row r="350" spans="1:18" ht="15.95" customHeight="1">
      <c r="A350" s="6"/>
      <c r="B350" s="23"/>
      <c r="C350" s="20"/>
      <c r="D350" s="20"/>
      <c r="E350" s="20"/>
      <c r="F350" s="20"/>
      <c r="G350" s="175"/>
      <c r="H350" s="175"/>
      <c r="I350" s="176"/>
      <c r="J350" s="52"/>
      <c r="K350" s="41"/>
      <c r="L350" s="49"/>
      <c r="M350" s="213"/>
      <c r="N350" s="20"/>
      <c r="O350" s="20"/>
      <c r="P350" s="175"/>
      <c r="Q350" s="175"/>
      <c r="R350" s="177"/>
    </row>
    <row r="351" spans="1:18" ht="15.95" customHeight="1">
      <c r="A351" s="6"/>
      <c r="B351" s="23"/>
      <c r="C351" s="29"/>
      <c r="D351" s="20"/>
      <c r="E351" s="20"/>
      <c r="F351" s="20"/>
      <c r="G351" s="183"/>
      <c r="H351" s="183"/>
      <c r="I351" s="187"/>
      <c r="J351" s="52"/>
      <c r="K351" s="20"/>
      <c r="L351" s="49"/>
      <c r="M351" s="213"/>
      <c r="N351" s="20"/>
      <c r="O351" s="20"/>
      <c r="P351" s="175"/>
      <c r="Q351" s="178"/>
      <c r="R351" s="177"/>
    </row>
    <row r="352" spans="1:18" ht="15.95" customHeight="1">
      <c r="A352" s="6"/>
      <c r="B352" s="23"/>
      <c r="C352" s="20"/>
      <c r="D352" s="20"/>
      <c r="E352" s="20"/>
      <c r="F352" s="20"/>
      <c r="G352" s="182"/>
      <c r="H352" s="183"/>
      <c r="I352" s="184"/>
      <c r="J352" s="52"/>
      <c r="K352" s="20"/>
      <c r="L352" s="49"/>
      <c r="M352" s="213"/>
      <c r="N352" s="20"/>
      <c r="O352" s="20"/>
      <c r="P352" s="175"/>
      <c r="Q352" s="178"/>
      <c r="R352" s="177"/>
    </row>
    <row r="353" spans="1:18" ht="20.100000000000001" customHeight="1">
      <c r="A353" s="6"/>
      <c r="B353" s="23"/>
      <c r="C353" s="20"/>
      <c r="D353" s="20"/>
      <c r="E353" s="20"/>
      <c r="F353" s="20"/>
      <c r="G353" s="175"/>
      <c r="H353" s="175"/>
      <c r="I353" s="176"/>
      <c r="J353" s="52"/>
      <c r="K353" s="30" t="s">
        <v>57</v>
      </c>
      <c r="L353" s="215"/>
      <c r="M353" s="213"/>
      <c r="N353" s="20"/>
      <c r="O353" s="20"/>
      <c r="P353" s="196">
        <f>SUM(P349:P352)</f>
        <v>0</v>
      </c>
      <c r="Q353" s="196">
        <f>Q349</f>
        <v>0</v>
      </c>
      <c r="R353" s="196">
        <f>P353+Q353</f>
        <v>0</v>
      </c>
    </row>
    <row r="354" spans="1:18" ht="20.100000000000001" customHeight="1">
      <c r="A354" s="6"/>
      <c r="B354" s="23"/>
      <c r="C354" s="20"/>
      <c r="D354" s="20"/>
      <c r="E354" s="20"/>
      <c r="F354" s="20"/>
      <c r="G354" s="177">
        <f>SUM(G349:G353)</f>
        <v>0</v>
      </c>
      <c r="H354" s="177">
        <f>SUM(H349:H353)</f>
        <v>154</v>
      </c>
      <c r="I354" s="186">
        <f>SUM(I349:I353)</f>
        <v>154</v>
      </c>
      <c r="J354" s="52"/>
      <c r="K354" s="30" t="s">
        <v>29</v>
      </c>
      <c r="L354" s="215"/>
      <c r="M354" s="213"/>
      <c r="N354" s="20"/>
      <c r="O354" s="20"/>
      <c r="P354" s="198">
        <v>0</v>
      </c>
      <c r="Q354" s="198">
        <f>H354-Q353</f>
        <v>154</v>
      </c>
      <c r="R354" s="198">
        <f>I354-R353</f>
        <v>154</v>
      </c>
    </row>
    <row r="355" spans="1:18" ht="20.100000000000001" customHeight="1">
      <c r="A355" s="6"/>
      <c r="B355" s="23"/>
      <c r="C355" s="20"/>
      <c r="D355" s="20"/>
      <c r="E355" s="20"/>
      <c r="F355" s="20"/>
      <c r="G355" s="20"/>
      <c r="H355" s="20"/>
      <c r="I355" s="49"/>
      <c r="J355" s="52"/>
      <c r="K355" s="30" t="s">
        <v>30</v>
      </c>
      <c r="L355" s="215"/>
      <c r="M355" s="213"/>
      <c r="N355" s="20"/>
      <c r="O355" s="20"/>
      <c r="P355" s="199">
        <f>P353</f>
        <v>0</v>
      </c>
      <c r="Q355" s="199">
        <f>Q353+Q354</f>
        <v>154</v>
      </c>
      <c r="R355" s="199">
        <f>R353+R354</f>
        <v>154</v>
      </c>
    </row>
    <row r="356" spans="1:18" ht="48" customHeight="1">
      <c r="A356" s="6"/>
      <c r="B356" s="336"/>
      <c r="C356" s="336"/>
      <c r="D356" s="336"/>
      <c r="E356" s="336"/>
      <c r="F356" s="336"/>
      <c r="G356" s="336"/>
      <c r="H356" s="336"/>
      <c r="I356" s="336"/>
      <c r="J356" s="336"/>
      <c r="K356" s="336"/>
      <c r="L356" s="336"/>
      <c r="M356" s="336"/>
      <c r="N356" s="336"/>
      <c r="O356" s="336"/>
      <c r="P356" s="336"/>
      <c r="Q356" s="336"/>
      <c r="R356" s="336"/>
    </row>
    <row r="357" spans="1:18" ht="42.6" customHeight="1">
      <c r="A357" s="6">
        <f ca="1">A357:R376</f>
        <v>0</v>
      </c>
      <c r="B357" s="340" t="s">
        <v>139</v>
      </c>
      <c r="C357" s="341"/>
      <c r="D357" s="341"/>
      <c r="E357" s="341"/>
      <c r="F357" s="341"/>
      <c r="G357" s="341"/>
      <c r="H357" s="341"/>
      <c r="I357" s="341"/>
      <c r="J357" s="341"/>
      <c r="K357" s="341"/>
      <c r="L357" s="341"/>
      <c r="M357" s="341"/>
      <c r="N357" s="341"/>
      <c r="O357" s="341"/>
      <c r="P357" s="341"/>
      <c r="Q357" s="341"/>
      <c r="R357" s="341"/>
    </row>
    <row r="358" spans="1:18" ht="43.5" customHeight="1">
      <c r="A358" s="6"/>
      <c r="B358" s="342"/>
      <c r="C358" s="343"/>
      <c r="D358" s="343"/>
      <c r="E358" s="343"/>
      <c r="F358" s="343"/>
      <c r="G358" s="343"/>
      <c r="H358" s="343"/>
      <c r="I358" s="344"/>
      <c r="J358" s="345"/>
      <c r="K358" s="345"/>
      <c r="L358" s="345"/>
      <c r="M358" s="345"/>
      <c r="N358" s="345"/>
      <c r="O358" s="345"/>
      <c r="P358" s="345"/>
      <c r="Q358" s="345"/>
      <c r="R358" s="346"/>
    </row>
    <row r="359" spans="1:18" ht="66" customHeight="1">
      <c r="A359" s="6"/>
      <c r="B359" s="15" t="s">
        <v>9</v>
      </c>
      <c r="C359" s="15" t="s">
        <v>19</v>
      </c>
      <c r="D359" s="16" t="s">
        <v>20</v>
      </c>
      <c r="E359" s="16" t="s">
        <v>21</v>
      </c>
      <c r="F359" s="16" t="s">
        <v>22</v>
      </c>
      <c r="G359" s="15" t="s">
        <v>23</v>
      </c>
      <c r="H359" s="15" t="s">
        <v>24</v>
      </c>
      <c r="I359" s="48" t="s">
        <v>25</v>
      </c>
      <c r="J359" s="50" t="s">
        <v>9</v>
      </c>
      <c r="K359" s="15" t="s">
        <v>56</v>
      </c>
      <c r="L359" s="347" t="s">
        <v>26</v>
      </c>
      <c r="M359" s="348"/>
      <c r="N359" s="16" t="s">
        <v>27</v>
      </c>
      <c r="O359" s="16" t="s">
        <v>22</v>
      </c>
      <c r="P359" s="15" t="s">
        <v>23</v>
      </c>
      <c r="Q359" s="15" t="s">
        <v>24</v>
      </c>
      <c r="R359" s="15" t="s">
        <v>25</v>
      </c>
    </row>
    <row r="360" spans="1:18" ht="45" customHeight="1">
      <c r="A360" s="6"/>
      <c r="B360" s="37" t="s">
        <v>188</v>
      </c>
      <c r="C360" s="13" t="s">
        <v>16</v>
      </c>
      <c r="D360" s="20"/>
      <c r="E360" s="20"/>
      <c r="F360" s="20"/>
      <c r="G360" s="175">
        <v>0</v>
      </c>
      <c r="H360" s="175">
        <f>Q354</f>
        <v>154</v>
      </c>
      <c r="I360" s="176">
        <f>G360+H360</f>
        <v>154</v>
      </c>
      <c r="J360" s="51" t="str">
        <f>B360</f>
        <v>31/03/2026</v>
      </c>
      <c r="K360" s="40" t="s">
        <v>28</v>
      </c>
      <c r="L360" s="334"/>
      <c r="M360" s="335"/>
      <c r="N360" s="192"/>
      <c r="O360" s="20"/>
      <c r="P360" s="175">
        <v>0</v>
      </c>
      <c r="Q360" s="175">
        <v>0</v>
      </c>
      <c r="R360" s="175">
        <f>Q360</f>
        <v>0</v>
      </c>
    </row>
    <row r="361" spans="1:18" ht="15.95" customHeight="1">
      <c r="A361" s="6"/>
      <c r="B361" s="23"/>
      <c r="C361" s="20"/>
      <c r="D361" s="20"/>
      <c r="E361" s="20"/>
      <c r="F361" s="20"/>
      <c r="G361" s="175"/>
      <c r="H361" s="175"/>
      <c r="I361" s="176"/>
      <c r="J361" s="52"/>
      <c r="K361" s="41"/>
      <c r="L361" s="49"/>
      <c r="M361" s="213"/>
      <c r="N361" s="301"/>
      <c r="O361" s="20"/>
      <c r="P361" s="175"/>
      <c r="Q361" s="175"/>
      <c r="R361" s="177"/>
    </row>
    <row r="362" spans="1:18" ht="15.95" customHeight="1">
      <c r="A362" s="6"/>
      <c r="B362" s="23"/>
      <c r="C362" s="29"/>
      <c r="D362" s="28"/>
      <c r="E362" s="28"/>
      <c r="F362" s="28"/>
      <c r="G362" s="182"/>
      <c r="H362" s="183"/>
      <c r="I362" s="187"/>
      <c r="J362" s="53"/>
      <c r="K362" s="27"/>
      <c r="L362" s="219"/>
      <c r="M362" s="26"/>
      <c r="N362" s="301"/>
      <c r="O362" s="28"/>
      <c r="P362" s="175"/>
      <c r="Q362" s="178"/>
      <c r="R362" s="177"/>
    </row>
    <row r="363" spans="1:18" ht="15.95" customHeight="1">
      <c r="A363" s="6"/>
      <c r="B363" s="23"/>
      <c r="C363" s="29"/>
      <c r="D363" s="28"/>
      <c r="E363" s="28"/>
      <c r="F363" s="28"/>
      <c r="G363" s="182"/>
      <c r="H363" s="183"/>
      <c r="I363" s="187"/>
      <c r="J363" s="53"/>
      <c r="K363" s="27"/>
      <c r="L363" s="219"/>
      <c r="M363" s="26"/>
      <c r="N363" s="301"/>
      <c r="O363" s="28"/>
      <c r="P363" s="175"/>
      <c r="Q363" s="178"/>
      <c r="R363" s="177"/>
    </row>
    <row r="364" spans="1:18" ht="15.95" customHeight="1">
      <c r="A364" s="6"/>
      <c r="B364" s="23"/>
      <c r="C364" s="28"/>
      <c r="D364" s="28"/>
      <c r="E364" s="28"/>
      <c r="F364" s="28"/>
      <c r="G364" s="182"/>
      <c r="H364" s="183"/>
      <c r="I364" s="184"/>
      <c r="J364" s="53"/>
      <c r="K364" s="29"/>
      <c r="L364" s="220"/>
      <c r="M364" s="26"/>
      <c r="N364" s="301"/>
      <c r="O364" s="28"/>
      <c r="P364" s="175"/>
      <c r="Q364" s="178"/>
      <c r="R364" s="177"/>
    </row>
    <row r="365" spans="1:18" ht="15.95" customHeight="1">
      <c r="A365" s="6"/>
      <c r="B365" s="23"/>
      <c r="C365" s="29"/>
      <c r="D365" s="28"/>
      <c r="E365" s="28"/>
      <c r="F365" s="28"/>
      <c r="G365" s="183"/>
      <c r="H365" s="183"/>
      <c r="I365" s="184"/>
      <c r="J365" s="53"/>
      <c r="K365" s="29"/>
      <c r="L365" s="220"/>
      <c r="M365" s="26"/>
      <c r="N365" s="28"/>
      <c r="O365" s="28"/>
      <c r="P365" s="175"/>
      <c r="Q365" s="178"/>
      <c r="R365" s="177"/>
    </row>
    <row r="366" spans="1:18" ht="20.100000000000001" customHeight="1">
      <c r="A366" s="6"/>
      <c r="B366" s="23"/>
      <c r="C366" s="20"/>
      <c r="D366" s="20"/>
      <c r="E366" s="20"/>
      <c r="F366" s="20"/>
      <c r="G366" s="175"/>
      <c r="H366" s="175"/>
      <c r="I366" s="176"/>
      <c r="J366" s="52"/>
      <c r="K366" s="30" t="s">
        <v>57</v>
      </c>
      <c r="L366" s="215"/>
      <c r="M366" s="216"/>
      <c r="N366" s="31"/>
      <c r="O366" s="31"/>
      <c r="P366" s="196">
        <f>SUM(P360:P365)</f>
        <v>0</v>
      </c>
      <c r="Q366" s="196">
        <f>Q360</f>
        <v>0</v>
      </c>
      <c r="R366" s="196">
        <f>P366+Q366</f>
        <v>0</v>
      </c>
    </row>
    <row r="367" spans="1:18" ht="20.100000000000001" customHeight="1">
      <c r="A367" s="6"/>
      <c r="B367" s="23"/>
      <c r="C367" s="20"/>
      <c r="D367" s="20"/>
      <c r="E367" s="20"/>
      <c r="F367" s="20"/>
      <c r="G367" s="177">
        <f>SUM(G360:G366)</f>
        <v>0</v>
      </c>
      <c r="H367" s="177">
        <f>SUM(H360:H366)</f>
        <v>154</v>
      </c>
      <c r="I367" s="186">
        <f>SUM(I360:I366)</f>
        <v>154</v>
      </c>
      <c r="J367" s="52"/>
      <c r="K367" s="30" t="s">
        <v>29</v>
      </c>
      <c r="L367" s="215"/>
      <c r="M367" s="216"/>
      <c r="N367" s="31"/>
      <c r="O367" s="31"/>
      <c r="P367" s="197">
        <v>0</v>
      </c>
      <c r="Q367" s="197">
        <f>H367-Q366</f>
        <v>154</v>
      </c>
      <c r="R367" s="197">
        <f>I367-R366</f>
        <v>154</v>
      </c>
    </row>
    <row r="368" spans="1:18" ht="20.100000000000001" customHeight="1">
      <c r="A368" s="6"/>
      <c r="B368" s="23"/>
      <c r="C368" s="20"/>
      <c r="D368" s="20"/>
      <c r="E368" s="20"/>
      <c r="F368" s="20"/>
      <c r="G368" s="20"/>
      <c r="H368" s="20"/>
      <c r="I368" s="49"/>
      <c r="J368" s="52"/>
      <c r="K368" s="30" t="s">
        <v>30</v>
      </c>
      <c r="L368" s="215"/>
      <c r="M368" s="216"/>
      <c r="N368" s="31"/>
      <c r="O368" s="31"/>
      <c r="P368" s="199">
        <f>P366</f>
        <v>0</v>
      </c>
      <c r="Q368" s="199">
        <f>Q366+Q367</f>
        <v>154</v>
      </c>
      <c r="R368" s="199">
        <f>R366+R367</f>
        <v>154</v>
      </c>
    </row>
    <row r="369" spans="1:19" ht="44.25" customHeight="1">
      <c r="A369" s="6"/>
      <c r="B369" s="337" t="s">
        <v>323</v>
      </c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9"/>
      <c r="S369" s="315"/>
    </row>
    <row r="370" spans="1:19" ht="45" customHeight="1">
      <c r="A370" s="6"/>
      <c r="B370" s="37"/>
      <c r="C370" s="13"/>
      <c r="D370" s="20"/>
      <c r="E370" s="20"/>
      <c r="F370" s="20"/>
      <c r="G370" s="175"/>
      <c r="H370" s="175"/>
      <c r="I370" s="176"/>
      <c r="J370" s="51"/>
      <c r="K370" s="40"/>
      <c r="L370" s="334"/>
      <c r="M370" s="335"/>
      <c r="N370" s="192"/>
      <c r="O370" s="20"/>
      <c r="P370" s="175"/>
      <c r="Q370" s="175"/>
      <c r="R370" s="175"/>
    </row>
    <row r="371" spans="1:19" ht="15.95" customHeight="1">
      <c r="A371" s="6"/>
      <c r="B371" s="23"/>
      <c r="C371" s="20"/>
      <c r="D371" s="20"/>
      <c r="E371" s="20"/>
      <c r="F371" s="20"/>
      <c r="G371" s="175"/>
      <c r="H371" s="175"/>
      <c r="I371" s="176"/>
      <c r="J371" s="52"/>
      <c r="K371" s="41"/>
      <c r="L371" s="49"/>
      <c r="M371" s="213"/>
      <c r="N371" s="20"/>
      <c r="O371" s="20"/>
      <c r="P371" s="175"/>
      <c r="Q371" s="175"/>
      <c r="R371" s="177"/>
    </row>
    <row r="372" spans="1:19" ht="15.95" customHeight="1">
      <c r="A372" s="6"/>
      <c r="B372" s="23"/>
      <c r="C372" s="29"/>
      <c r="D372" s="20"/>
      <c r="E372" s="20"/>
      <c r="F372" s="20"/>
      <c r="G372" s="183"/>
      <c r="H372" s="183"/>
      <c r="I372" s="187"/>
      <c r="J372" s="52"/>
      <c r="K372" s="20"/>
      <c r="L372" s="49"/>
      <c r="M372" s="213"/>
      <c r="N372" s="20"/>
      <c r="O372" s="20"/>
      <c r="P372" s="175"/>
      <c r="Q372" s="178"/>
      <c r="R372" s="177"/>
    </row>
    <row r="373" spans="1:19" ht="15.95" customHeight="1">
      <c r="A373" s="6"/>
      <c r="B373" s="23"/>
      <c r="C373" s="20"/>
      <c r="D373" s="20"/>
      <c r="E373" s="20"/>
      <c r="F373" s="20"/>
      <c r="G373" s="182"/>
      <c r="H373" s="183"/>
      <c r="I373" s="184"/>
      <c r="J373" s="52"/>
      <c r="K373" s="20"/>
      <c r="L373" s="49"/>
      <c r="M373" s="213"/>
      <c r="N373" s="20"/>
      <c r="O373" s="20"/>
      <c r="P373" s="175"/>
      <c r="Q373" s="178"/>
      <c r="R373" s="177"/>
    </row>
    <row r="374" spans="1:19" ht="20.100000000000001" customHeight="1">
      <c r="A374" s="6"/>
      <c r="B374" s="23"/>
      <c r="C374" s="20"/>
      <c r="D374" s="20"/>
      <c r="E374" s="20"/>
      <c r="F374" s="20"/>
      <c r="G374" s="175"/>
      <c r="H374" s="175"/>
      <c r="I374" s="176"/>
      <c r="J374" s="52"/>
      <c r="K374" s="311"/>
      <c r="L374" s="312"/>
      <c r="M374" s="213"/>
      <c r="N374" s="20"/>
      <c r="O374" s="20"/>
      <c r="P374" s="313"/>
      <c r="Q374" s="313"/>
      <c r="R374" s="313"/>
    </row>
    <row r="375" spans="1:19" ht="20.100000000000001" customHeight="1">
      <c r="A375" s="6"/>
      <c r="B375" s="23"/>
      <c r="C375" s="20"/>
      <c r="D375" s="20"/>
      <c r="E375" s="20"/>
      <c r="F375" s="20"/>
      <c r="G375" s="177"/>
      <c r="H375" s="177"/>
      <c r="I375" s="186"/>
      <c r="J375" s="52"/>
      <c r="K375" s="311"/>
      <c r="L375" s="312"/>
      <c r="M375" s="213"/>
      <c r="N375" s="20"/>
      <c r="O375" s="20"/>
      <c r="P375" s="314"/>
      <c r="Q375" s="314"/>
      <c r="R375" s="314"/>
    </row>
    <row r="376" spans="1:19" ht="20.100000000000001" customHeight="1">
      <c r="A376" s="6"/>
      <c r="B376" s="23"/>
      <c r="C376" s="20"/>
      <c r="D376" s="20"/>
      <c r="E376" s="20"/>
      <c r="F376" s="20"/>
      <c r="G376" s="20"/>
      <c r="H376" s="20"/>
      <c r="I376" s="49"/>
      <c r="J376" s="52"/>
      <c r="K376" s="311"/>
      <c r="L376" s="312"/>
      <c r="M376" s="213"/>
      <c r="N376" s="20"/>
      <c r="O376" s="20"/>
      <c r="P376" s="313"/>
      <c r="Q376" s="313"/>
      <c r="R376" s="313"/>
    </row>
    <row r="377" spans="1:19" ht="48" customHeight="1">
      <c r="A377" s="6"/>
      <c r="B377" s="336"/>
      <c r="C377" s="336"/>
      <c r="D377" s="336"/>
      <c r="E377" s="336"/>
      <c r="F377" s="336"/>
      <c r="G377" s="336"/>
      <c r="H377" s="336"/>
      <c r="I377" s="336"/>
      <c r="J377" s="336"/>
      <c r="K377" s="336"/>
      <c r="L377" s="336"/>
      <c r="M377" s="336"/>
      <c r="N377" s="336"/>
      <c r="O377" s="336"/>
      <c r="P377" s="336"/>
      <c r="Q377" s="336"/>
      <c r="R377" s="336"/>
    </row>
  </sheetData>
  <mergeCells count="124">
    <mergeCell ref="J265:R265"/>
    <mergeCell ref="L266:M266"/>
    <mergeCell ref="L267:M267"/>
    <mergeCell ref="L300:M300"/>
    <mergeCell ref="B309:R309"/>
    <mergeCell ref="L276:M276"/>
    <mergeCell ref="L277:M277"/>
    <mergeCell ref="B286:R286"/>
    <mergeCell ref="B287:R287"/>
    <mergeCell ref="B288:I288"/>
    <mergeCell ref="J288:R288"/>
    <mergeCell ref="L289:M289"/>
    <mergeCell ref="L290:M290"/>
    <mergeCell ref="L299:M299"/>
    <mergeCell ref="B125:R125"/>
    <mergeCell ref="B100:R100"/>
    <mergeCell ref="B101:I101"/>
    <mergeCell ref="J101:R101"/>
    <mergeCell ref="L102:M102"/>
    <mergeCell ref="L103:M103"/>
    <mergeCell ref="B218:R218"/>
    <mergeCell ref="B219:I219"/>
    <mergeCell ref="J219:R219"/>
    <mergeCell ref="L138:M138"/>
    <mergeCell ref="L139:M139"/>
    <mergeCell ref="B148:R148"/>
    <mergeCell ref="B149:R149"/>
    <mergeCell ref="B150:I150"/>
    <mergeCell ref="J150:R150"/>
    <mergeCell ref="B126:R126"/>
    <mergeCell ref="B127:I127"/>
    <mergeCell ref="J127:R127"/>
    <mergeCell ref="L128:M128"/>
    <mergeCell ref="L129:M129"/>
    <mergeCell ref="B172:R172"/>
    <mergeCell ref="B173:I173"/>
    <mergeCell ref="J173:R173"/>
    <mergeCell ref="L174:M174"/>
    <mergeCell ref="A77:A99"/>
    <mergeCell ref="B77:R77"/>
    <mergeCell ref="B78:I78"/>
    <mergeCell ref="J78:R78"/>
    <mergeCell ref="L79:M79"/>
    <mergeCell ref="L80:M80"/>
    <mergeCell ref="B99:R99"/>
    <mergeCell ref="L116:M116"/>
    <mergeCell ref="L117:M117"/>
    <mergeCell ref="B76:R76"/>
    <mergeCell ref="B46:R46"/>
    <mergeCell ref="B23:R23"/>
    <mergeCell ref="L3:M3"/>
    <mergeCell ref="A1:A23"/>
    <mergeCell ref="B2:I2"/>
    <mergeCell ref="B47:R47"/>
    <mergeCell ref="B48:I48"/>
    <mergeCell ref="J48:R48"/>
    <mergeCell ref="J2:R2"/>
    <mergeCell ref="B1:R1"/>
    <mergeCell ref="B24:R24"/>
    <mergeCell ref="B25:I25"/>
    <mergeCell ref="J25:R25"/>
    <mergeCell ref="L4:M4"/>
    <mergeCell ref="L50:M50"/>
    <mergeCell ref="L49:M49"/>
    <mergeCell ref="L26:M26"/>
    <mergeCell ref="L27:M27"/>
    <mergeCell ref="L37:M37"/>
    <mergeCell ref="L36:M36"/>
    <mergeCell ref="L175:M175"/>
    <mergeCell ref="L151:M151"/>
    <mergeCell ref="L152:M152"/>
    <mergeCell ref="L161:M161"/>
    <mergeCell ref="L162:M162"/>
    <mergeCell ref="B171:R171"/>
    <mergeCell ref="L197:M197"/>
    <mergeCell ref="L198:M198"/>
    <mergeCell ref="L207:M207"/>
    <mergeCell ref="L208:M208"/>
    <mergeCell ref="B217:R217"/>
    <mergeCell ref="L184:M184"/>
    <mergeCell ref="L185:M185"/>
    <mergeCell ref="B194:R194"/>
    <mergeCell ref="B195:R195"/>
    <mergeCell ref="B196:I196"/>
    <mergeCell ref="J196:R196"/>
    <mergeCell ref="L322:M322"/>
    <mergeCell ref="L220:M220"/>
    <mergeCell ref="L221:M221"/>
    <mergeCell ref="L230:M230"/>
    <mergeCell ref="L231:M231"/>
    <mergeCell ref="B240:R240"/>
    <mergeCell ref="B241:R241"/>
    <mergeCell ref="B242:I242"/>
    <mergeCell ref="J242:R242"/>
    <mergeCell ref="L243:M243"/>
    <mergeCell ref="L244:M244"/>
    <mergeCell ref="L253:M253"/>
    <mergeCell ref="L254:M254"/>
    <mergeCell ref="B263:R263"/>
    <mergeCell ref="B264:R264"/>
    <mergeCell ref="B265:I265"/>
    <mergeCell ref="L323:M323"/>
    <mergeCell ref="B332:R332"/>
    <mergeCell ref="B333:R333"/>
    <mergeCell ref="B334:I334"/>
    <mergeCell ref="J334:R334"/>
    <mergeCell ref="B310:R310"/>
    <mergeCell ref="B311:I311"/>
    <mergeCell ref="J311:R311"/>
    <mergeCell ref="L312:M312"/>
    <mergeCell ref="L313:M313"/>
    <mergeCell ref="L370:M370"/>
    <mergeCell ref="B377:R377"/>
    <mergeCell ref="B369:R369"/>
    <mergeCell ref="B357:R357"/>
    <mergeCell ref="B358:I358"/>
    <mergeCell ref="J358:R358"/>
    <mergeCell ref="L359:M359"/>
    <mergeCell ref="L360:M360"/>
    <mergeCell ref="L335:M335"/>
    <mergeCell ref="L336:M336"/>
    <mergeCell ref="L348:M348"/>
    <mergeCell ref="L349:M349"/>
    <mergeCell ref="B356:R356"/>
  </mergeCells>
  <pageMargins left="0" right="0" top="0" bottom="0" header="0" footer="0"/>
  <pageSetup paperSize="5" scale="97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0066"/>
  </sheetPr>
  <dimension ref="A1:T83"/>
  <sheetViews>
    <sheetView topLeftCell="A55" zoomScale="96" zoomScaleNormal="96" workbookViewId="0">
      <selection activeCell="S77" sqref="S77"/>
    </sheetView>
  </sheetViews>
  <sheetFormatPr defaultRowHeight="15"/>
  <cols>
    <col min="1" max="1" width="2.140625" customWidth="1"/>
    <col min="2" max="2" width="12.7109375" customWidth="1"/>
    <col min="3" max="3" width="8.42578125" customWidth="1"/>
    <col min="4" max="4" width="29.7109375" customWidth="1"/>
    <col min="5" max="5" width="10.42578125" customWidth="1"/>
    <col min="6" max="7" width="10.140625" customWidth="1"/>
    <col min="8" max="8" width="7.85546875" customWidth="1"/>
    <col min="9" max="9" width="1.28515625" customWidth="1"/>
    <col min="10" max="10" width="12.7109375" customWidth="1"/>
    <col min="11" max="11" width="8.42578125" customWidth="1"/>
    <col min="12" max="12" width="29.7109375" customWidth="1"/>
    <col min="13" max="15" width="10.140625" customWidth="1"/>
    <col min="16" max="16" width="7.85546875" customWidth="1"/>
    <col min="19" max="19" width="15.42578125" customWidth="1"/>
  </cols>
  <sheetData>
    <row r="1" spans="1:20" ht="48" customHeight="1">
      <c r="B1" s="361" t="s">
        <v>139</v>
      </c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245"/>
    </row>
    <row r="2" spans="1:20" ht="31.5" customHeight="1">
      <c r="A2" s="362"/>
      <c r="B2" s="373" t="s">
        <v>8</v>
      </c>
      <c r="C2" s="374"/>
      <c r="D2" s="374"/>
      <c r="E2" s="374"/>
      <c r="F2" s="374"/>
      <c r="G2" s="374"/>
      <c r="H2" s="374"/>
      <c r="I2" s="246"/>
      <c r="J2" s="373" t="s">
        <v>8</v>
      </c>
      <c r="K2" s="374"/>
      <c r="L2" s="374"/>
      <c r="M2" s="374"/>
      <c r="N2" s="374"/>
      <c r="O2" s="374"/>
      <c r="P2" s="374"/>
    </row>
    <row r="3" spans="1:20" ht="30" customHeight="1">
      <c r="A3" s="362"/>
      <c r="B3" s="375" t="s">
        <v>184</v>
      </c>
      <c r="C3" s="376"/>
      <c r="D3" s="376"/>
      <c r="E3" s="376"/>
      <c r="F3" s="376"/>
      <c r="G3" s="376"/>
      <c r="H3" s="376"/>
      <c r="I3" s="246"/>
      <c r="J3" s="375" t="s">
        <v>198</v>
      </c>
      <c r="K3" s="376"/>
      <c r="L3" s="376"/>
      <c r="M3" s="376"/>
      <c r="N3" s="376"/>
      <c r="O3" s="376"/>
      <c r="P3" s="376"/>
    </row>
    <row r="4" spans="1:20" ht="39.75" customHeight="1">
      <c r="A4" s="362"/>
      <c r="B4" s="247" t="s">
        <v>9</v>
      </c>
      <c r="C4" s="248" t="s">
        <v>10</v>
      </c>
      <c r="D4" s="247" t="s">
        <v>11</v>
      </c>
      <c r="E4" s="248" t="s">
        <v>12</v>
      </c>
      <c r="F4" s="248" t="s">
        <v>13</v>
      </c>
      <c r="G4" s="248" t="s">
        <v>14</v>
      </c>
      <c r="H4" s="248" t="s">
        <v>15</v>
      </c>
      <c r="I4" s="246"/>
      <c r="J4" s="247" t="s">
        <v>9</v>
      </c>
      <c r="K4" s="248" t="s">
        <v>10</v>
      </c>
      <c r="L4" s="247" t="s">
        <v>11</v>
      </c>
      <c r="M4" s="248" t="s">
        <v>12</v>
      </c>
      <c r="N4" s="248" t="s">
        <v>13</v>
      </c>
      <c r="O4" s="248" t="s">
        <v>14</v>
      </c>
      <c r="P4" s="248" t="s">
        <v>15</v>
      </c>
    </row>
    <row r="5" spans="1:20" ht="18" customHeight="1">
      <c r="A5" s="362"/>
      <c r="B5" s="249">
        <v>45661</v>
      </c>
      <c r="C5" s="250">
        <v>1</v>
      </c>
      <c r="D5" s="251" t="s">
        <v>16</v>
      </c>
      <c r="E5" s="252">
        <v>500</v>
      </c>
      <c r="F5" s="252">
        <v>0</v>
      </c>
      <c r="G5" s="252">
        <f>E5-F5</f>
        <v>500</v>
      </c>
      <c r="H5" s="252">
        <v>0</v>
      </c>
      <c r="I5" s="246"/>
      <c r="J5" s="249">
        <v>45661</v>
      </c>
      <c r="K5" s="250">
        <v>1</v>
      </c>
      <c r="L5" s="251" t="s">
        <v>16</v>
      </c>
      <c r="M5" s="252">
        <v>500</v>
      </c>
      <c r="N5" s="252">
        <v>0</v>
      </c>
      <c r="O5" s="252">
        <f>M5-N5</f>
        <v>500</v>
      </c>
      <c r="P5" s="252">
        <v>0</v>
      </c>
    </row>
    <row r="6" spans="1:20" ht="18" customHeight="1">
      <c r="A6" s="362"/>
      <c r="B6" s="253">
        <v>45906</v>
      </c>
      <c r="C6" s="250">
        <v>3</v>
      </c>
      <c r="D6" s="251" t="s">
        <v>204</v>
      </c>
      <c r="E6" s="252">
        <v>0</v>
      </c>
      <c r="F6" s="252">
        <v>500</v>
      </c>
      <c r="G6" s="252">
        <f>G5+E6-F6</f>
        <v>0</v>
      </c>
      <c r="H6" s="252">
        <v>0</v>
      </c>
      <c r="I6" s="246"/>
      <c r="J6" s="249">
        <v>45906</v>
      </c>
      <c r="K6" s="250">
        <v>3</v>
      </c>
      <c r="L6" s="251" t="s">
        <v>203</v>
      </c>
      <c r="M6" s="252">
        <v>0</v>
      </c>
      <c r="N6" s="252">
        <v>500</v>
      </c>
      <c r="O6" s="252">
        <f>O5+M6-N6</f>
        <v>0</v>
      </c>
      <c r="P6" s="252">
        <v>0</v>
      </c>
    </row>
    <row r="7" spans="1:20" ht="18" customHeight="1">
      <c r="A7" s="362"/>
      <c r="B7" s="253" t="s">
        <v>181</v>
      </c>
      <c r="C7" s="250">
        <v>4</v>
      </c>
      <c r="D7" s="251" t="s">
        <v>17</v>
      </c>
      <c r="E7" s="252">
        <v>1500</v>
      </c>
      <c r="F7" s="252">
        <v>0</v>
      </c>
      <c r="G7" s="252">
        <f>E7-F7</f>
        <v>1500</v>
      </c>
      <c r="H7" s="252">
        <v>0</v>
      </c>
      <c r="I7" s="246"/>
      <c r="J7" s="253" t="s">
        <v>181</v>
      </c>
      <c r="K7" s="250">
        <v>4</v>
      </c>
      <c r="L7" s="251" t="s">
        <v>17</v>
      </c>
      <c r="M7" s="252">
        <v>500</v>
      </c>
      <c r="N7" s="252">
        <v>0</v>
      </c>
      <c r="O7" s="252">
        <f>M7-N7</f>
        <v>500</v>
      </c>
      <c r="P7" s="252">
        <v>0</v>
      </c>
    </row>
    <row r="8" spans="1:20" ht="18" customHeight="1">
      <c r="A8" s="362"/>
      <c r="B8" s="253">
        <v>45695</v>
      </c>
      <c r="C8" s="250">
        <v>5</v>
      </c>
      <c r="D8" s="251" t="s">
        <v>204</v>
      </c>
      <c r="E8" s="252">
        <v>0</v>
      </c>
      <c r="F8" s="252">
        <v>1500</v>
      </c>
      <c r="G8" s="252">
        <f>G7+E8-F8</f>
        <v>0</v>
      </c>
      <c r="H8" s="252">
        <v>0</v>
      </c>
      <c r="I8" s="246"/>
      <c r="J8" s="249">
        <v>45695</v>
      </c>
      <c r="K8" s="254">
        <v>5</v>
      </c>
      <c r="L8" s="251" t="s">
        <v>203</v>
      </c>
      <c r="M8" s="252">
        <v>0</v>
      </c>
      <c r="N8" s="252">
        <v>500</v>
      </c>
      <c r="O8" s="252">
        <f>O7+M8-N8</f>
        <v>0</v>
      </c>
      <c r="P8" s="252">
        <v>0</v>
      </c>
    </row>
    <row r="9" spans="1:20" ht="18" customHeight="1">
      <c r="A9" s="362"/>
      <c r="B9" s="253"/>
      <c r="C9" s="250"/>
      <c r="D9" s="251"/>
      <c r="E9" s="252"/>
      <c r="F9" s="252"/>
      <c r="G9" s="252"/>
      <c r="H9" s="252"/>
      <c r="I9" s="246"/>
      <c r="J9" s="249"/>
      <c r="K9" s="254"/>
      <c r="L9" s="255"/>
      <c r="M9" s="256"/>
      <c r="N9" s="256"/>
      <c r="O9" s="256"/>
      <c r="P9" s="256"/>
    </row>
    <row r="10" spans="1:20" ht="18" customHeight="1">
      <c r="A10" s="362"/>
      <c r="B10" s="253"/>
      <c r="C10" s="250"/>
      <c r="D10" s="251"/>
      <c r="E10" s="252"/>
      <c r="F10" s="252"/>
      <c r="G10" s="252"/>
      <c r="H10" s="252"/>
      <c r="I10" s="246"/>
      <c r="J10" s="249"/>
      <c r="K10" s="254"/>
      <c r="L10" s="255"/>
      <c r="M10" s="256"/>
      <c r="N10" s="256"/>
      <c r="O10" s="256"/>
      <c r="P10" s="256"/>
    </row>
    <row r="11" spans="1:20" ht="18" customHeight="1">
      <c r="A11" s="362"/>
      <c r="B11" s="253"/>
      <c r="C11" s="250"/>
      <c r="D11" s="251"/>
      <c r="E11" s="252"/>
      <c r="F11" s="252"/>
      <c r="G11" s="252"/>
      <c r="H11" s="252"/>
      <c r="I11" s="246"/>
      <c r="J11" s="249"/>
      <c r="K11" s="250"/>
      <c r="L11" s="257"/>
      <c r="M11" s="252"/>
      <c r="N11" s="252"/>
      <c r="O11" s="252"/>
      <c r="P11" s="252"/>
    </row>
    <row r="12" spans="1:20" ht="19.5" customHeight="1">
      <c r="A12" s="362"/>
      <c r="B12" s="258" t="s">
        <v>188</v>
      </c>
      <c r="C12" s="259">
        <v>16</v>
      </c>
      <c r="D12" s="260" t="s">
        <v>18</v>
      </c>
      <c r="E12" s="261">
        <f>SUM(E3:E11)</f>
        <v>2000</v>
      </c>
      <c r="F12" s="261">
        <f>SUM(F3:F11)</f>
        <v>2000</v>
      </c>
      <c r="G12" s="261">
        <f>E12-F12</f>
        <v>0</v>
      </c>
      <c r="H12" s="261">
        <v>0</v>
      </c>
      <c r="I12" s="262"/>
      <c r="J12" s="258" t="s">
        <v>188</v>
      </c>
      <c r="K12" s="259">
        <v>16</v>
      </c>
      <c r="L12" s="260" t="s">
        <v>18</v>
      </c>
      <c r="M12" s="261">
        <f>SUM(M3:M11)</f>
        <v>1000</v>
      </c>
      <c r="N12" s="261">
        <f>SUM(N3:N11)</f>
        <v>1000</v>
      </c>
      <c r="O12" s="261">
        <f>M12-N12</f>
        <v>0</v>
      </c>
      <c r="P12" s="263">
        <v>0</v>
      </c>
      <c r="S12">
        <v>2212</v>
      </c>
    </row>
    <row r="13" spans="1:20" ht="39.75" customHeight="1">
      <c r="A13" s="362"/>
      <c r="B13" s="264"/>
      <c r="C13" s="265"/>
      <c r="D13" s="266"/>
      <c r="E13" s="267"/>
      <c r="F13" s="267"/>
      <c r="G13" s="267"/>
      <c r="H13" s="267"/>
      <c r="I13" s="246"/>
      <c r="J13" s="268"/>
      <c r="K13" s="269"/>
      <c r="L13" s="266"/>
      <c r="M13" s="270"/>
      <c r="N13" s="270"/>
      <c r="O13" s="270"/>
      <c r="P13" s="270"/>
      <c r="S13">
        <v>1553</v>
      </c>
    </row>
    <row r="14" spans="1:20" ht="31.5" customHeight="1">
      <c r="A14" s="362"/>
      <c r="B14" s="373" t="s">
        <v>8</v>
      </c>
      <c r="C14" s="374"/>
      <c r="D14" s="374"/>
      <c r="E14" s="374"/>
      <c r="F14" s="374"/>
      <c r="G14" s="374"/>
      <c r="H14" s="374"/>
      <c r="I14" s="246"/>
      <c r="J14" s="373" t="s">
        <v>8</v>
      </c>
      <c r="K14" s="374"/>
      <c r="L14" s="374"/>
      <c r="M14" s="374"/>
      <c r="N14" s="374"/>
      <c r="O14" s="374"/>
      <c r="P14" s="374"/>
      <c r="S14">
        <f>S12-KHATAVAHI!M51985</f>
        <v>2212</v>
      </c>
      <c r="T14">
        <v>2167</v>
      </c>
    </row>
    <row r="15" spans="1:20" ht="30.75" customHeight="1">
      <c r="A15" s="362"/>
      <c r="B15" s="375" t="s">
        <v>200</v>
      </c>
      <c r="C15" s="376"/>
      <c r="D15" s="376"/>
      <c r="E15" s="376"/>
      <c r="F15" s="376"/>
      <c r="G15" s="376"/>
      <c r="H15" s="376"/>
      <c r="I15" s="246"/>
      <c r="J15" s="375" t="s">
        <v>185</v>
      </c>
      <c r="K15" s="376"/>
      <c r="L15" s="376"/>
      <c r="M15" s="376"/>
      <c r="N15" s="376"/>
      <c r="O15" s="376"/>
      <c r="P15" s="376"/>
      <c r="T15">
        <v>86</v>
      </c>
    </row>
    <row r="16" spans="1:20" ht="39.75" customHeight="1">
      <c r="A16" s="362"/>
      <c r="B16" s="247" t="s">
        <v>9</v>
      </c>
      <c r="C16" s="248" t="s">
        <v>10</v>
      </c>
      <c r="D16" s="247" t="s">
        <v>11</v>
      </c>
      <c r="E16" s="248" t="s">
        <v>12</v>
      </c>
      <c r="F16" s="248" t="s">
        <v>13</v>
      </c>
      <c r="G16" s="248" t="s">
        <v>14</v>
      </c>
      <c r="H16" s="248" t="s">
        <v>15</v>
      </c>
      <c r="I16" s="246"/>
      <c r="J16" s="247" t="s">
        <v>9</v>
      </c>
      <c r="K16" s="248" t="s">
        <v>10</v>
      </c>
      <c r="L16" s="247" t="s">
        <v>11</v>
      </c>
      <c r="M16" s="248" t="s">
        <v>12</v>
      </c>
      <c r="N16" s="248" t="s">
        <v>13</v>
      </c>
      <c r="O16" s="248" t="s">
        <v>14</v>
      </c>
      <c r="P16" s="248" t="s">
        <v>15</v>
      </c>
      <c r="T16">
        <v>3</v>
      </c>
    </row>
    <row r="17" spans="1:20" ht="18" customHeight="1">
      <c r="A17" s="362"/>
      <c r="B17" s="249">
        <v>45661</v>
      </c>
      <c r="C17" s="250">
        <v>1</v>
      </c>
      <c r="D17" s="251" t="s">
        <v>16</v>
      </c>
      <c r="E17" s="252">
        <v>0</v>
      </c>
      <c r="F17" s="252">
        <v>0</v>
      </c>
      <c r="G17" s="252">
        <f>E17-F17</f>
        <v>0</v>
      </c>
      <c r="H17" s="252">
        <v>0</v>
      </c>
      <c r="I17" s="246"/>
      <c r="J17" s="249">
        <v>45661</v>
      </c>
      <c r="K17" s="271">
        <v>1</v>
      </c>
      <c r="L17" s="251" t="s">
        <v>16</v>
      </c>
      <c r="M17" s="252">
        <v>0</v>
      </c>
      <c r="N17" s="252">
        <v>0</v>
      </c>
      <c r="O17" s="252">
        <f>M17-N17</f>
        <v>0</v>
      </c>
      <c r="P17" s="252">
        <v>0</v>
      </c>
      <c r="T17">
        <f>SUM(T14:T16)</f>
        <v>2256</v>
      </c>
    </row>
    <row r="18" spans="1:20" ht="18" customHeight="1">
      <c r="A18" s="362"/>
      <c r="B18" s="249" t="s">
        <v>193</v>
      </c>
      <c r="C18" s="250">
        <v>7</v>
      </c>
      <c r="D18" s="251" t="s">
        <v>17</v>
      </c>
      <c r="E18" s="252">
        <v>1200</v>
      </c>
      <c r="F18" s="252">
        <v>0</v>
      </c>
      <c r="G18" s="252">
        <f>G17+E18</f>
        <v>1200</v>
      </c>
      <c r="H18" s="252">
        <v>0</v>
      </c>
      <c r="I18" s="246"/>
      <c r="J18" s="249" t="s">
        <v>194</v>
      </c>
      <c r="K18" s="271">
        <v>5</v>
      </c>
      <c r="L18" s="251" t="s">
        <v>17</v>
      </c>
      <c r="M18" s="252">
        <v>1100</v>
      </c>
      <c r="N18" s="252">
        <v>0</v>
      </c>
      <c r="O18" s="252">
        <f>O17+M18-N18</f>
        <v>1100</v>
      </c>
      <c r="P18" s="252">
        <v>0</v>
      </c>
    </row>
    <row r="19" spans="1:20" ht="18" customHeight="1">
      <c r="A19" s="362"/>
      <c r="B19" s="249" t="s">
        <v>207</v>
      </c>
      <c r="C19" s="250">
        <v>9</v>
      </c>
      <c r="D19" s="251" t="s">
        <v>208</v>
      </c>
      <c r="E19" s="252">
        <v>0</v>
      </c>
      <c r="F19" s="252">
        <v>1200</v>
      </c>
      <c r="G19" s="252">
        <f>G18+E19-F19</f>
        <v>0</v>
      </c>
      <c r="H19" s="252">
        <v>0</v>
      </c>
      <c r="I19" s="246"/>
      <c r="J19" s="249" t="s">
        <v>205</v>
      </c>
      <c r="K19" s="250">
        <v>6</v>
      </c>
      <c r="L19" s="251" t="s">
        <v>68</v>
      </c>
      <c r="M19" s="252">
        <v>0</v>
      </c>
      <c r="N19" s="252">
        <v>1100</v>
      </c>
      <c r="O19" s="252">
        <f>O18+M19-N19</f>
        <v>0</v>
      </c>
      <c r="P19" s="252">
        <v>0</v>
      </c>
    </row>
    <row r="20" spans="1:20" ht="18" customHeight="1">
      <c r="A20" s="362"/>
      <c r="B20" s="249"/>
      <c r="C20" s="250"/>
      <c r="D20" s="251"/>
      <c r="E20" s="252"/>
      <c r="F20" s="252"/>
      <c r="G20" s="252"/>
      <c r="H20" s="252"/>
      <c r="I20" s="246"/>
      <c r="J20" s="249"/>
      <c r="K20" s="272"/>
      <c r="L20" s="251"/>
      <c r="M20" s="252"/>
      <c r="N20" s="252"/>
      <c r="O20" s="252"/>
      <c r="P20" s="252"/>
    </row>
    <row r="21" spans="1:20" ht="18" customHeight="1">
      <c r="A21" s="362"/>
      <c r="B21" s="249"/>
      <c r="C21" s="250"/>
      <c r="D21" s="251"/>
      <c r="E21" s="252"/>
      <c r="F21" s="252"/>
      <c r="G21" s="252"/>
      <c r="H21" s="252"/>
      <c r="I21" s="246"/>
      <c r="J21" s="249"/>
      <c r="K21" s="272"/>
      <c r="L21" s="273"/>
      <c r="M21" s="252"/>
      <c r="N21" s="252"/>
      <c r="O21" s="252"/>
      <c r="P21" s="252"/>
    </row>
    <row r="22" spans="1:20" ht="18" customHeight="1">
      <c r="A22" s="362"/>
      <c r="B22" s="249"/>
      <c r="C22" s="250"/>
      <c r="D22" s="251"/>
      <c r="E22" s="252"/>
      <c r="F22" s="252"/>
      <c r="G22" s="252"/>
      <c r="H22" s="252"/>
      <c r="I22" s="246"/>
      <c r="J22" s="249"/>
      <c r="K22" s="272"/>
      <c r="L22" s="257"/>
      <c r="M22" s="252"/>
      <c r="N22" s="252"/>
      <c r="O22" s="252"/>
      <c r="P22" s="252"/>
    </row>
    <row r="23" spans="1:20" ht="18" customHeight="1">
      <c r="A23" s="362"/>
      <c r="B23" s="249"/>
      <c r="C23" s="250"/>
      <c r="D23" s="251"/>
      <c r="E23" s="252"/>
      <c r="F23" s="252"/>
      <c r="G23" s="252"/>
      <c r="H23" s="252"/>
      <c r="I23" s="246"/>
      <c r="J23" s="249"/>
      <c r="K23" s="272"/>
      <c r="L23" s="257"/>
      <c r="M23" s="252"/>
      <c r="N23" s="252"/>
      <c r="O23" s="252"/>
      <c r="P23" s="252"/>
    </row>
    <row r="24" spans="1:20" ht="23.25" customHeight="1">
      <c r="A24" s="362"/>
      <c r="B24" s="258" t="s">
        <v>188</v>
      </c>
      <c r="C24" s="259">
        <v>16</v>
      </c>
      <c r="D24" s="260" t="s">
        <v>18</v>
      </c>
      <c r="E24" s="261">
        <f>SUM(E15:E23)</f>
        <v>1200</v>
      </c>
      <c r="F24" s="261">
        <f>SUM(F15:F23)</f>
        <v>1200</v>
      </c>
      <c r="G24" s="261">
        <f>E24-F24</f>
        <v>0</v>
      </c>
      <c r="H24" s="261">
        <v>0</v>
      </c>
      <c r="I24" s="262"/>
      <c r="J24" s="258" t="s">
        <v>188</v>
      </c>
      <c r="K24" s="259">
        <v>16</v>
      </c>
      <c r="L24" s="274"/>
      <c r="M24" s="261">
        <f>SUM(M15:M23)</f>
        <v>1100</v>
      </c>
      <c r="N24" s="261">
        <f>SUM(N15:N23)</f>
        <v>1100</v>
      </c>
      <c r="O24" s="261">
        <f>M24-N24</f>
        <v>0</v>
      </c>
      <c r="P24" s="261">
        <v>0</v>
      </c>
    </row>
    <row r="25" spans="1:20" ht="46.5" customHeight="1">
      <c r="A25" s="362"/>
      <c r="B25" s="275"/>
      <c r="C25" s="275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</row>
    <row r="26" spans="1:20" ht="48" customHeight="1">
      <c r="A26" s="362"/>
      <c r="B26" s="361" t="s">
        <v>139</v>
      </c>
      <c r="C26" s="361"/>
      <c r="D26" s="361"/>
      <c r="E26" s="361"/>
      <c r="F26" s="361"/>
      <c r="G26" s="361"/>
      <c r="H26" s="361"/>
      <c r="I26" s="361"/>
      <c r="J26" s="361"/>
      <c r="K26" s="361"/>
      <c r="L26" s="361"/>
      <c r="M26" s="361"/>
      <c r="N26" s="361"/>
      <c r="O26" s="361"/>
      <c r="P26" s="361"/>
    </row>
    <row r="27" spans="1:20" ht="31.5" customHeight="1">
      <c r="A27" s="362"/>
      <c r="B27" s="367" t="s">
        <v>8</v>
      </c>
      <c r="C27" s="368"/>
      <c r="D27" s="368"/>
      <c r="E27" s="368"/>
      <c r="F27" s="368"/>
      <c r="G27" s="368"/>
      <c r="H27" s="368"/>
      <c r="I27" s="70"/>
      <c r="J27" s="369" t="s">
        <v>8</v>
      </c>
      <c r="K27" s="368"/>
      <c r="L27" s="368"/>
      <c r="M27" s="368"/>
      <c r="N27" s="368"/>
      <c r="O27" s="368"/>
      <c r="P27" s="368"/>
    </row>
    <row r="28" spans="1:20" ht="30" customHeight="1">
      <c r="A28" s="362"/>
      <c r="B28" s="370" t="s">
        <v>186</v>
      </c>
      <c r="C28" s="371"/>
      <c r="D28" s="371"/>
      <c r="E28" s="371"/>
      <c r="F28" s="371"/>
      <c r="G28" s="371"/>
      <c r="H28" s="371"/>
      <c r="I28" s="70"/>
      <c r="J28" s="372" t="s">
        <v>201</v>
      </c>
      <c r="K28" s="371"/>
      <c r="L28" s="371"/>
      <c r="M28" s="371"/>
      <c r="N28" s="371"/>
      <c r="O28" s="371"/>
      <c r="P28" s="371"/>
    </row>
    <row r="29" spans="1:20" ht="39.4" customHeight="1">
      <c r="A29" s="362"/>
      <c r="B29" s="77" t="s">
        <v>9</v>
      </c>
      <c r="C29" s="78" t="s">
        <v>10</v>
      </c>
      <c r="D29" s="79" t="s">
        <v>11</v>
      </c>
      <c r="E29" s="78" t="s">
        <v>12</v>
      </c>
      <c r="F29" s="78" t="s">
        <v>13</v>
      </c>
      <c r="G29" s="78" t="s">
        <v>14</v>
      </c>
      <c r="H29" s="78" t="s">
        <v>15</v>
      </c>
      <c r="I29" s="70"/>
      <c r="J29" s="79" t="s">
        <v>9</v>
      </c>
      <c r="K29" s="78" t="s">
        <v>10</v>
      </c>
      <c r="L29" s="79" t="s">
        <v>11</v>
      </c>
      <c r="M29" s="78" t="s">
        <v>12</v>
      </c>
      <c r="N29" s="78" t="s">
        <v>13</v>
      </c>
      <c r="O29" s="78" t="s">
        <v>14</v>
      </c>
      <c r="P29" s="78" t="s">
        <v>15</v>
      </c>
    </row>
    <row r="30" spans="1:20" ht="18" customHeight="1">
      <c r="A30" s="362"/>
      <c r="B30" s="45">
        <v>45661</v>
      </c>
      <c r="C30" s="67">
        <v>1</v>
      </c>
      <c r="D30" s="68" t="s">
        <v>16</v>
      </c>
      <c r="E30" s="69">
        <v>9000</v>
      </c>
      <c r="F30" s="69">
        <v>0</v>
      </c>
      <c r="G30" s="69">
        <f>E30-F30</f>
        <v>9000</v>
      </c>
      <c r="H30" s="69">
        <v>0</v>
      </c>
      <c r="I30" s="70"/>
      <c r="J30" s="45">
        <v>45661</v>
      </c>
      <c r="K30" s="4">
        <v>1</v>
      </c>
      <c r="L30" s="3" t="s">
        <v>16</v>
      </c>
      <c r="M30" s="46">
        <v>2399</v>
      </c>
      <c r="N30" s="46">
        <v>0</v>
      </c>
      <c r="O30" s="46">
        <f>M30-N30</f>
        <v>2399</v>
      </c>
      <c r="P30" s="46">
        <v>0</v>
      </c>
    </row>
    <row r="31" spans="1:20" ht="18" customHeight="1">
      <c r="A31" s="362"/>
      <c r="B31" s="80">
        <v>45906</v>
      </c>
      <c r="C31" s="67">
        <v>3</v>
      </c>
      <c r="D31" s="93" t="s">
        <v>69</v>
      </c>
      <c r="E31" s="69">
        <v>0</v>
      </c>
      <c r="F31" s="69">
        <v>9000</v>
      </c>
      <c r="G31" s="69">
        <f>G30+E31-F31</f>
        <v>0</v>
      </c>
      <c r="H31" s="69">
        <v>0</v>
      </c>
      <c r="I31" s="70"/>
      <c r="J31" s="45">
        <v>45752</v>
      </c>
      <c r="K31" s="4">
        <v>2</v>
      </c>
      <c r="L31" s="3" t="s">
        <v>59</v>
      </c>
      <c r="M31" s="46">
        <v>45</v>
      </c>
      <c r="N31" s="46">
        <v>0</v>
      </c>
      <c r="O31" s="46">
        <f>O30+M31-N31</f>
        <v>2444</v>
      </c>
      <c r="P31" s="46">
        <v>0</v>
      </c>
    </row>
    <row r="32" spans="1:20" ht="18" customHeight="1">
      <c r="A32" s="362"/>
      <c r="B32" s="80" t="s">
        <v>181</v>
      </c>
      <c r="C32" s="67">
        <v>4</v>
      </c>
      <c r="D32" s="68" t="s">
        <v>17</v>
      </c>
      <c r="E32" s="69">
        <v>3000</v>
      </c>
      <c r="F32" s="69">
        <v>0</v>
      </c>
      <c r="G32" s="69">
        <f>G31+E32-F32</f>
        <v>3000</v>
      </c>
      <c r="H32" s="69">
        <v>0</v>
      </c>
      <c r="I32" s="70"/>
      <c r="J32" s="45">
        <v>45785</v>
      </c>
      <c r="K32" s="4">
        <v>7</v>
      </c>
      <c r="L32" s="3" t="s">
        <v>59</v>
      </c>
      <c r="M32" s="46">
        <v>52</v>
      </c>
      <c r="N32" s="46">
        <v>0</v>
      </c>
      <c r="O32" s="46">
        <f>O31+M32-N32</f>
        <v>2496</v>
      </c>
      <c r="P32" s="46">
        <v>0</v>
      </c>
    </row>
    <row r="33" spans="1:16" ht="18" customHeight="1">
      <c r="A33" s="362"/>
      <c r="B33" s="80">
        <v>45695</v>
      </c>
      <c r="C33" s="67">
        <v>5</v>
      </c>
      <c r="D33" s="93" t="s">
        <v>69</v>
      </c>
      <c r="E33" s="69">
        <v>0</v>
      </c>
      <c r="F33" s="69">
        <v>3000</v>
      </c>
      <c r="G33" s="69">
        <f t="shared" ref="G33" si="0">G32+E33-F33</f>
        <v>0</v>
      </c>
      <c r="H33" s="69">
        <v>0</v>
      </c>
      <c r="I33" s="70"/>
      <c r="J33" s="45">
        <v>45699</v>
      </c>
      <c r="K33" s="95">
        <v>8</v>
      </c>
      <c r="L33" s="92" t="s">
        <v>59</v>
      </c>
      <c r="M33" s="96">
        <v>29</v>
      </c>
      <c r="N33" s="96">
        <v>0</v>
      </c>
      <c r="O33" s="96">
        <f>O32+M33-N33</f>
        <v>2525</v>
      </c>
      <c r="P33" s="96">
        <v>0</v>
      </c>
    </row>
    <row r="34" spans="1:16" ht="18" customHeight="1">
      <c r="A34" s="362"/>
      <c r="B34" s="80" t="s">
        <v>315</v>
      </c>
      <c r="C34" s="67">
        <v>14</v>
      </c>
      <c r="D34" s="68" t="s">
        <v>17</v>
      </c>
      <c r="E34" s="69">
        <v>3000</v>
      </c>
      <c r="F34" s="69">
        <v>0</v>
      </c>
      <c r="G34" s="69">
        <f>G33+E34-F34</f>
        <v>3000</v>
      </c>
      <c r="H34" s="69">
        <v>0</v>
      </c>
      <c r="I34" s="70"/>
      <c r="J34" s="45">
        <v>46175</v>
      </c>
      <c r="K34" s="95">
        <v>11</v>
      </c>
      <c r="L34" s="92" t="s">
        <v>59</v>
      </c>
      <c r="M34" s="96">
        <v>28</v>
      </c>
      <c r="N34" s="96">
        <v>0</v>
      </c>
      <c r="O34" s="96">
        <f>O33+M34-N34</f>
        <v>2553</v>
      </c>
      <c r="P34" s="96">
        <v>0</v>
      </c>
    </row>
    <row r="35" spans="1:16" ht="18" customHeight="1">
      <c r="A35" s="362"/>
      <c r="B35" s="80" t="s">
        <v>312</v>
      </c>
      <c r="C35" s="67">
        <v>15</v>
      </c>
      <c r="D35" s="93" t="s">
        <v>69</v>
      </c>
      <c r="E35" s="69">
        <v>0</v>
      </c>
      <c r="F35" s="69">
        <v>3000</v>
      </c>
      <c r="G35" s="69">
        <f t="shared" ref="G35" si="1">G34+E35-F35</f>
        <v>0</v>
      </c>
      <c r="H35" s="69">
        <v>0</v>
      </c>
      <c r="I35" s="70"/>
      <c r="J35" s="71" t="s">
        <v>272</v>
      </c>
      <c r="K35" s="95">
        <v>12</v>
      </c>
      <c r="L35" s="251" t="s">
        <v>273</v>
      </c>
      <c r="M35" s="256">
        <v>0</v>
      </c>
      <c r="N35" s="256">
        <v>2399</v>
      </c>
      <c r="O35" s="256">
        <f>O34+M35-N35</f>
        <v>154</v>
      </c>
      <c r="P35" s="256">
        <v>0</v>
      </c>
    </row>
    <row r="36" spans="1:16" ht="18" customHeight="1">
      <c r="A36" s="362"/>
      <c r="B36" s="80"/>
      <c r="C36" s="67"/>
      <c r="D36" s="68"/>
      <c r="E36" s="69"/>
      <c r="F36" s="69"/>
      <c r="G36" s="69"/>
      <c r="H36" s="69"/>
      <c r="I36" s="70"/>
      <c r="J36" s="71"/>
      <c r="K36" s="82"/>
      <c r="L36" s="72"/>
      <c r="M36" s="69"/>
      <c r="N36" s="69"/>
      <c r="O36" s="69"/>
      <c r="P36" s="69"/>
    </row>
    <row r="37" spans="1:16" ht="18" customHeight="1">
      <c r="A37" s="362"/>
      <c r="B37" s="80"/>
      <c r="C37" s="67"/>
      <c r="D37" s="68"/>
      <c r="E37" s="69"/>
      <c r="F37" s="69"/>
      <c r="G37" s="69"/>
      <c r="H37" s="69"/>
      <c r="I37" s="70"/>
      <c r="J37" s="71"/>
      <c r="K37" s="82"/>
      <c r="L37" s="72"/>
      <c r="M37" s="69"/>
      <c r="N37" s="69"/>
      <c r="O37" s="69"/>
      <c r="P37" s="69"/>
    </row>
    <row r="38" spans="1:16" ht="18" customHeight="1">
      <c r="A38" s="362"/>
      <c r="B38" s="80"/>
      <c r="C38" s="67"/>
      <c r="D38" s="68"/>
      <c r="E38" s="69"/>
      <c r="F38" s="69"/>
      <c r="G38" s="69"/>
      <c r="H38" s="69"/>
      <c r="I38" s="70"/>
      <c r="J38" s="71"/>
      <c r="K38" s="82"/>
      <c r="L38" s="72"/>
      <c r="M38" s="69"/>
      <c r="N38" s="69"/>
      <c r="O38" s="69"/>
      <c r="P38" s="69"/>
    </row>
    <row r="39" spans="1:16" ht="18" customHeight="1">
      <c r="A39" s="362"/>
      <c r="B39" s="80"/>
      <c r="C39" s="67"/>
      <c r="D39" s="93"/>
      <c r="E39" s="69"/>
      <c r="F39" s="69"/>
      <c r="G39" s="97"/>
      <c r="H39" s="69"/>
      <c r="I39" s="70"/>
      <c r="J39" s="71"/>
      <c r="K39" s="82"/>
      <c r="L39" s="72"/>
      <c r="M39" s="69"/>
      <c r="N39" s="69"/>
      <c r="O39" s="69"/>
      <c r="P39" s="69"/>
    </row>
    <row r="40" spans="1:16" ht="18" customHeight="1">
      <c r="A40" s="362"/>
      <c r="B40" s="242" t="s">
        <v>188</v>
      </c>
      <c r="C40" s="241">
        <v>16</v>
      </c>
      <c r="D40" s="83" t="s">
        <v>18</v>
      </c>
      <c r="E40" s="84">
        <f>SUM(E30:E39)</f>
        <v>15000</v>
      </c>
      <c r="F40" s="84">
        <f>SUM(F30:F39)</f>
        <v>15000</v>
      </c>
      <c r="G40" s="243">
        <f>E40-F40</f>
        <v>0</v>
      </c>
      <c r="H40" s="243">
        <v>0</v>
      </c>
      <c r="I40" s="244"/>
      <c r="J40" s="242" t="s">
        <v>188</v>
      </c>
      <c r="K40" s="241">
        <v>16</v>
      </c>
      <c r="L40" s="85"/>
      <c r="M40" s="243">
        <f>SUM(M30:M39)</f>
        <v>2553</v>
      </c>
      <c r="N40" s="243">
        <f>SUM(N30:N39)</f>
        <v>2399</v>
      </c>
      <c r="O40" s="243">
        <f>M40-N40</f>
        <v>154</v>
      </c>
      <c r="P40" s="243">
        <v>0</v>
      </c>
    </row>
    <row r="41" spans="1:16" ht="39.75" customHeight="1">
      <c r="A41" s="362"/>
    </row>
    <row r="42" spans="1:16" ht="31.5" customHeight="1">
      <c r="A42" s="362"/>
      <c r="B42" s="363" t="s">
        <v>8</v>
      </c>
      <c r="C42" s="364"/>
      <c r="D42" s="364"/>
      <c r="E42" s="364"/>
      <c r="F42" s="364"/>
      <c r="G42" s="364"/>
      <c r="H42" s="364"/>
      <c r="I42" s="14"/>
      <c r="J42" s="363" t="s">
        <v>8</v>
      </c>
      <c r="K42" s="364"/>
      <c r="L42" s="364"/>
      <c r="M42" s="364"/>
      <c r="N42" s="364"/>
      <c r="O42" s="364"/>
      <c r="P42" s="364"/>
    </row>
    <row r="43" spans="1:16" ht="30" customHeight="1">
      <c r="A43" s="362"/>
      <c r="B43" s="365" t="s">
        <v>187</v>
      </c>
      <c r="C43" s="366"/>
      <c r="D43" s="366"/>
      <c r="E43" s="366"/>
      <c r="F43" s="366"/>
      <c r="G43" s="366"/>
      <c r="H43" s="366"/>
      <c r="I43" s="14"/>
      <c r="J43" s="365" t="s">
        <v>199</v>
      </c>
      <c r="K43" s="366"/>
      <c r="L43" s="366"/>
      <c r="M43" s="366"/>
      <c r="N43" s="366"/>
      <c r="O43" s="366"/>
      <c r="P43" s="366"/>
    </row>
    <row r="44" spans="1:16" ht="39.75" customHeight="1">
      <c r="A44" s="362"/>
      <c r="B44" s="1" t="s">
        <v>9</v>
      </c>
      <c r="C44" s="2" t="s">
        <v>10</v>
      </c>
      <c r="D44" s="1" t="s">
        <v>11</v>
      </c>
      <c r="E44" s="2" t="s">
        <v>12</v>
      </c>
      <c r="F44" s="2" t="s">
        <v>13</v>
      </c>
      <c r="G44" s="2" t="s">
        <v>14</v>
      </c>
      <c r="H44" s="2" t="s">
        <v>15</v>
      </c>
      <c r="I44" s="14"/>
      <c r="J44" s="1" t="s">
        <v>9</v>
      </c>
      <c r="K44" s="2" t="s">
        <v>10</v>
      </c>
      <c r="L44" s="1" t="s">
        <v>11</v>
      </c>
      <c r="M44" s="2" t="s">
        <v>12</v>
      </c>
      <c r="N44" s="2" t="s">
        <v>13</v>
      </c>
      <c r="O44" s="2" t="s">
        <v>14</v>
      </c>
      <c r="P44" s="2" t="s">
        <v>15</v>
      </c>
    </row>
    <row r="45" spans="1:16" ht="18" customHeight="1">
      <c r="A45" s="362"/>
      <c r="B45" s="45">
        <v>45661</v>
      </c>
      <c r="C45" s="4">
        <v>1</v>
      </c>
      <c r="D45" s="3" t="s">
        <v>16</v>
      </c>
      <c r="E45" s="46">
        <v>1</v>
      </c>
      <c r="F45" s="46">
        <v>0</v>
      </c>
      <c r="G45" s="46">
        <f>E45-F45</f>
        <v>1</v>
      </c>
      <c r="H45" s="46">
        <v>0</v>
      </c>
      <c r="I45" s="14"/>
      <c r="J45" s="45">
        <v>45661</v>
      </c>
      <c r="K45" s="81">
        <v>1</v>
      </c>
      <c r="L45" s="68" t="s">
        <v>16</v>
      </c>
      <c r="M45" s="69">
        <v>500</v>
      </c>
      <c r="N45" s="69">
        <v>0</v>
      </c>
      <c r="O45" s="69">
        <f>M45-N45</f>
        <v>500</v>
      </c>
      <c r="P45" s="69">
        <v>0</v>
      </c>
    </row>
    <row r="46" spans="1:16" ht="18" customHeight="1">
      <c r="A46" s="362"/>
      <c r="B46" s="71" t="s">
        <v>272</v>
      </c>
      <c r="C46" s="95">
        <v>12</v>
      </c>
      <c r="D46" s="251" t="s">
        <v>273</v>
      </c>
      <c r="E46" s="256">
        <v>0</v>
      </c>
      <c r="F46" s="256">
        <v>1</v>
      </c>
      <c r="G46" s="256">
        <f>G45+E46-F46</f>
        <v>0</v>
      </c>
      <c r="H46" s="256">
        <v>0</v>
      </c>
      <c r="I46" s="14"/>
      <c r="J46" s="71">
        <v>45906</v>
      </c>
      <c r="K46" s="81">
        <v>3</v>
      </c>
      <c r="L46" s="68" t="s">
        <v>143</v>
      </c>
      <c r="M46" s="69">
        <v>0</v>
      </c>
      <c r="N46" s="69">
        <v>500</v>
      </c>
      <c r="O46" s="69">
        <f>O45+M46-N46</f>
        <v>0</v>
      </c>
      <c r="P46" s="69">
        <v>0</v>
      </c>
    </row>
    <row r="47" spans="1:16" ht="18" customHeight="1">
      <c r="A47" s="362"/>
      <c r="B47" s="47"/>
      <c r="C47" s="4"/>
      <c r="D47" s="3"/>
      <c r="E47" s="46"/>
      <c r="F47" s="86"/>
      <c r="G47" s="46"/>
      <c r="H47" s="46"/>
      <c r="I47" s="14"/>
      <c r="J47" s="71" t="s">
        <v>206</v>
      </c>
      <c r="K47" s="81">
        <v>6</v>
      </c>
      <c r="L47" s="68" t="s">
        <v>17</v>
      </c>
      <c r="M47" s="69">
        <v>1000</v>
      </c>
      <c r="N47" s="69">
        <v>0</v>
      </c>
      <c r="O47" s="69">
        <f>O46+M47-N47</f>
        <v>1000</v>
      </c>
      <c r="P47" s="69">
        <v>0</v>
      </c>
    </row>
    <row r="48" spans="1:16" ht="18" customHeight="1">
      <c r="A48" s="362"/>
      <c r="B48" s="47"/>
      <c r="C48" s="4"/>
      <c r="D48" s="3"/>
      <c r="E48" s="46"/>
      <c r="F48" s="86"/>
      <c r="G48" s="46"/>
      <c r="H48" s="46"/>
      <c r="I48" s="14"/>
      <c r="J48" s="45" t="s">
        <v>207</v>
      </c>
      <c r="K48" s="4">
        <v>9</v>
      </c>
      <c r="L48" s="68" t="s">
        <v>143</v>
      </c>
      <c r="M48" s="69">
        <v>0</v>
      </c>
      <c r="N48" s="69">
        <v>500</v>
      </c>
      <c r="O48" s="69">
        <f>O47+M48-N48</f>
        <v>500</v>
      </c>
      <c r="P48" s="69">
        <v>0</v>
      </c>
    </row>
    <row r="49" spans="1:19" ht="18" customHeight="1">
      <c r="A49" s="362"/>
      <c r="B49" s="236"/>
      <c r="C49" s="237"/>
      <c r="D49" s="238"/>
      <c r="E49" s="239"/>
      <c r="F49" s="240"/>
      <c r="G49" s="239"/>
      <c r="H49" s="239"/>
      <c r="I49" s="14"/>
      <c r="J49" s="45" t="s">
        <v>312</v>
      </c>
      <c r="K49" s="4">
        <v>15</v>
      </c>
      <c r="L49" s="68" t="s">
        <v>143</v>
      </c>
      <c r="M49" s="69">
        <v>0</v>
      </c>
      <c r="N49" s="69">
        <v>500</v>
      </c>
      <c r="O49" s="69">
        <f>O48+M49-N49</f>
        <v>0</v>
      </c>
      <c r="P49" s="69">
        <v>0</v>
      </c>
    </row>
    <row r="50" spans="1:19" ht="18" customHeight="1">
      <c r="A50" s="362"/>
      <c r="B50" s="242" t="s">
        <v>188</v>
      </c>
      <c r="C50" s="241">
        <v>16</v>
      </c>
      <c r="D50" s="83" t="s">
        <v>18</v>
      </c>
      <c r="E50" s="317">
        <f>SUM(E44:E48)</f>
        <v>1</v>
      </c>
      <c r="F50" s="317">
        <f>SUM(F44:F48)</f>
        <v>1</v>
      </c>
      <c r="G50" s="317">
        <f>E50-F50</f>
        <v>0</v>
      </c>
      <c r="H50" s="317">
        <v>0</v>
      </c>
      <c r="I50" s="244"/>
      <c r="J50" s="242" t="s">
        <v>188</v>
      </c>
      <c r="K50" s="241">
        <v>16</v>
      </c>
      <c r="L50" s="83" t="s">
        <v>18</v>
      </c>
      <c r="M50" s="243">
        <f>SUM(M44:M48)</f>
        <v>1500</v>
      </c>
      <c r="N50" s="243">
        <f>SUM(N45:N49)</f>
        <v>1500</v>
      </c>
      <c r="O50" s="243">
        <f>M50-N50</f>
        <v>0</v>
      </c>
      <c r="P50" s="243">
        <v>0</v>
      </c>
    </row>
    <row r="51" spans="1:19" ht="36" customHeight="1">
      <c r="A51" s="362"/>
      <c r="B51" s="54"/>
      <c r="C51" s="55"/>
      <c r="D51" s="56"/>
      <c r="E51" s="57"/>
      <c r="F51" s="57"/>
      <c r="G51" s="57"/>
      <c r="H51" s="57"/>
      <c r="I51" s="14"/>
      <c r="J51" s="58"/>
      <c r="K51" s="59"/>
      <c r="L51" s="56"/>
      <c r="M51" s="60"/>
      <c r="N51" s="60"/>
      <c r="O51" s="60"/>
      <c r="P51" s="60"/>
    </row>
    <row r="52" spans="1:19" ht="48" customHeight="1">
      <c r="A52" s="362"/>
      <c r="B52" s="361" t="s">
        <v>139</v>
      </c>
      <c r="C52" s="361"/>
      <c r="D52" s="361"/>
      <c r="E52" s="361"/>
      <c r="F52" s="361"/>
      <c r="G52" s="361"/>
      <c r="H52" s="361"/>
      <c r="I52" s="361"/>
      <c r="J52" s="361"/>
      <c r="K52" s="361"/>
      <c r="L52" s="361"/>
      <c r="M52" s="361"/>
      <c r="N52" s="361"/>
      <c r="O52" s="361"/>
      <c r="P52" s="361"/>
    </row>
    <row r="53" spans="1:19" ht="31.5" customHeight="1">
      <c r="A53" s="362"/>
      <c r="B53" s="363" t="s">
        <v>8</v>
      </c>
      <c r="C53" s="364"/>
      <c r="D53" s="364"/>
      <c r="E53" s="364"/>
      <c r="F53" s="364"/>
      <c r="G53" s="364"/>
      <c r="H53" s="364"/>
      <c r="I53" s="14"/>
      <c r="J53" s="363" t="s">
        <v>8</v>
      </c>
      <c r="K53" s="364"/>
      <c r="L53" s="364"/>
      <c r="M53" s="364"/>
      <c r="N53" s="364"/>
      <c r="O53" s="364"/>
      <c r="P53" s="364"/>
    </row>
    <row r="54" spans="1:19" ht="30" customHeight="1">
      <c r="A54" s="362"/>
      <c r="B54" s="365" t="s">
        <v>202</v>
      </c>
      <c r="C54" s="366"/>
      <c r="D54" s="366"/>
      <c r="E54" s="366"/>
      <c r="F54" s="366"/>
      <c r="G54" s="366"/>
      <c r="H54" s="366"/>
      <c r="I54" s="14"/>
      <c r="J54" s="365" t="s">
        <v>209</v>
      </c>
      <c r="K54" s="366"/>
      <c r="L54" s="366"/>
      <c r="M54" s="366"/>
      <c r="N54" s="366"/>
      <c r="O54" s="366"/>
      <c r="P54" s="366"/>
    </row>
    <row r="55" spans="1:19" ht="39.75" customHeight="1">
      <c r="A55" s="362"/>
      <c r="B55" s="1" t="s">
        <v>9</v>
      </c>
      <c r="C55" s="2" t="s">
        <v>10</v>
      </c>
      <c r="D55" s="1" t="s">
        <v>11</v>
      </c>
      <c r="E55" s="2" t="s">
        <v>12</v>
      </c>
      <c r="F55" s="2" t="s">
        <v>13</v>
      </c>
      <c r="G55" s="2" t="s">
        <v>14</v>
      </c>
      <c r="H55" s="2" t="s">
        <v>15</v>
      </c>
      <c r="I55" s="14"/>
      <c r="J55" s="1" t="s">
        <v>9</v>
      </c>
      <c r="K55" s="2" t="s">
        <v>10</v>
      </c>
      <c r="L55" s="1" t="s">
        <v>11</v>
      </c>
      <c r="M55" s="2" t="s">
        <v>12</v>
      </c>
      <c r="N55" s="2" t="s">
        <v>13</v>
      </c>
      <c r="O55" s="2" t="s">
        <v>14</v>
      </c>
      <c r="P55" s="2" t="s">
        <v>15</v>
      </c>
    </row>
    <row r="56" spans="1:19" ht="18" customHeight="1">
      <c r="A56" s="362"/>
      <c r="B56" s="45">
        <v>45661</v>
      </c>
      <c r="C56" s="4">
        <v>1</v>
      </c>
      <c r="D56" s="3" t="s">
        <v>16</v>
      </c>
      <c r="E56" s="46">
        <v>98</v>
      </c>
      <c r="F56" s="46">
        <v>0</v>
      </c>
      <c r="G56" s="46">
        <f>E56-F56</f>
        <v>98</v>
      </c>
      <c r="H56" s="46">
        <v>0</v>
      </c>
      <c r="I56" s="14"/>
      <c r="J56" s="45"/>
      <c r="K56" s="4"/>
      <c r="L56" s="3"/>
      <c r="M56" s="46"/>
      <c r="N56" s="46"/>
      <c r="O56" s="46"/>
      <c r="P56" s="46"/>
    </row>
    <row r="57" spans="1:19" ht="18" customHeight="1">
      <c r="A57" s="362"/>
      <c r="B57" s="71" t="s">
        <v>328</v>
      </c>
      <c r="C57" s="81">
        <v>10</v>
      </c>
      <c r="D57" s="68" t="s">
        <v>17</v>
      </c>
      <c r="E57" s="69">
        <v>17963</v>
      </c>
      <c r="F57" s="69">
        <v>0</v>
      </c>
      <c r="G57" s="69">
        <f>G56+E57-F57</f>
        <v>18061</v>
      </c>
      <c r="H57" s="69">
        <v>0</v>
      </c>
      <c r="I57" s="14"/>
      <c r="J57" s="45"/>
      <c r="K57" s="4"/>
      <c r="L57" s="3"/>
      <c r="M57" s="46"/>
      <c r="N57" s="46"/>
      <c r="O57" s="46"/>
      <c r="P57" s="46"/>
    </row>
    <row r="58" spans="1:19" ht="18" customHeight="1">
      <c r="A58" s="362"/>
      <c r="B58" s="71" t="s">
        <v>272</v>
      </c>
      <c r="C58" s="95">
        <v>12</v>
      </c>
      <c r="D58" s="251" t="s">
        <v>273</v>
      </c>
      <c r="E58" s="256">
        <v>0</v>
      </c>
      <c r="F58" s="256">
        <v>98</v>
      </c>
      <c r="G58" s="256">
        <f>G57+E58-F58</f>
        <v>17963</v>
      </c>
      <c r="H58" s="256">
        <v>0</v>
      </c>
      <c r="I58" s="14"/>
      <c r="J58" s="45"/>
      <c r="K58" s="4"/>
      <c r="L58" s="3"/>
      <c r="M58" s="46"/>
      <c r="N58" s="46"/>
      <c r="O58" s="46"/>
      <c r="P58" s="46"/>
    </row>
    <row r="59" spans="1:19" ht="18" customHeight="1">
      <c r="A59" s="362"/>
      <c r="B59" s="47">
        <v>46084</v>
      </c>
      <c r="C59" s="4">
        <v>13</v>
      </c>
      <c r="D59" s="318" t="s">
        <v>329</v>
      </c>
      <c r="E59" s="256">
        <v>0</v>
      </c>
      <c r="F59" s="256">
        <v>6000</v>
      </c>
      <c r="G59" s="256">
        <f t="shared" ref="G59:G60" si="2">G58+E59-F59</f>
        <v>11963</v>
      </c>
      <c r="H59" s="256">
        <v>0</v>
      </c>
      <c r="I59" s="14"/>
      <c r="J59" s="45"/>
      <c r="K59" s="95"/>
      <c r="L59" s="92"/>
      <c r="M59" s="96"/>
      <c r="N59" s="96"/>
      <c r="O59" s="96"/>
      <c r="P59" s="96"/>
    </row>
    <row r="60" spans="1:19" ht="18" customHeight="1">
      <c r="A60" s="362"/>
      <c r="B60" s="47">
        <v>46084</v>
      </c>
      <c r="C60" s="4">
        <v>13</v>
      </c>
      <c r="D60" s="318" t="s">
        <v>330</v>
      </c>
      <c r="E60" s="256">
        <v>0</v>
      </c>
      <c r="F60" s="256">
        <v>11963</v>
      </c>
      <c r="G60" s="256">
        <f t="shared" si="2"/>
        <v>0</v>
      </c>
      <c r="H60" s="256">
        <v>0</v>
      </c>
      <c r="I60" s="14"/>
      <c r="J60" s="45"/>
      <c r="K60" s="95"/>
      <c r="L60" s="92"/>
      <c r="M60" s="96"/>
      <c r="N60" s="96"/>
      <c r="O60" s="96"/>
      <c r="P60" s="96"/>
    </row>
    <row r="61" spans="1:19" ht="18" customHeight="1">
      <c r="A61" s="362"/>
      <c r="B61" s="61"/>
      <c r="C61" s="62"/>
      <c r="D61" s="63"/>
      <c r="E61" s="64"/>
      <c r="F61" s="64"/>
      <c r="G61" s="64"/>
      <c r="H61" s="64"/>
      <c r="I61" s="14"/>
      <c r="J61" s="65"/>
      <c r="K61" s="225"/>
      <c r="L61" s="226"/>
      <c r="M61" s="227"/>
      <c r="N61" s="227"/>
      <c r="O61" s="227"/>
      <c r="P61" s="227"/>
    </row>
    <row r="62" spans="1:19" ht="18" customHeight="1">
      <c r="A62" s="362"/>
      <c r="B62" s="61"/>
      <c r="C62" s="62"/>
      <c r="D62" s="63"/>
      <c r="E62" s="64"/>
      <c r="F62" s="64"/>
      <c r="G62" s="64"/>
      <c r="H62" s="64"/>
      <c r="I62" s="14"/>
      <c r="J62" s="65"/>
      <c r="K62" s="62"/>
      <c r="L62" s="66"/>
      <c r="M62" s="64"/>
      <c r="N62" s="64"/>
      <c r="O62" s="64"/>
      <c r="P62" s="64"/>
    </row>
    <row r="63" spans="1:19" ht="19.5" customHeight="1">
      <c r="A63" s="362"/>
      <c r="B63" s="73" t="s">
        <v>188</v>
      </c>
      <c r="C63" s="74">
        <v>16</v>
      </c>
      <c r="D63" s="75" t="s">
        <v>18</v>
      </c>
      <c r="E63" s="316">
        <f>SUM(E54:E62)</f>
        <v>18061</v>
      </c>
      <c r="F63" s="316">
        <f>SUM(F54:F62)</f>
        <v>18061</v>
      </c>
      <c r="G63" s="316">
        <f>E63-F63</f>
        <v>0</v>
      </c>
      <c r="H63" s="316">
        <v>0</v>
      </c>
      <c r="I63" s="70"/>
      <c r="J63" s="73"/>
      <c r="K63" s="74"/>
      <c r="L63" s="75"/>
      <c r="M63" s="94"/>
      <c r="N63" s="94"/>
      <c r="O63" s="94"/>
      <c r="P63" s="76"/>
      <c r="S63">
        <v>2212</v>
      </c>
    </row>
    <row r="64" spans="1:19" ht="39.75" customHeight="1">
      <c r="A64" s="362"/>
      <c r="B64" s="54"/>
      <c r="C64" s="55"/>
      <c r="D64" s="56"/>
      <c r="E64" s="57"/>
      <c r="F64" s="57"/>
      <c r="G64" s="57"/>
      <c r="H64" s="57"/>
      <c r="I64" s="14"/>
      <c r="J64" s="58"/>
      <c r="K64" s="59"/>
      <c r="L64" s="56"/>
      <c r="M64" s="60"/>
      <c r="N64" s="60"/>
      <c r="O64" s="60"/>
      <c r="P64" s="60"/>
      <c r="S64">
        <v>1553</v>
      </c>
    </row>
    <row r="65" spans="1:1">
      <c r="A65" s="362"/>
    </row>
    <row r="66" spans="1:1">
      <c r="A66" s="362"/>
    </row>
    <row r="67" spans="1:1">
      <c r="A67" s="362"/>
    </row>
    <row r="68" spans="1:1">
      <c r="A68" s="362"/>
    </row>
    <row r="69" spans="1:1">
      <c r="A69" s="362"/>
    </row>
    <row r="70" spans="1:1">
      <c r="A70" s="362"/>
    </row>
    <row r="71" spans="1:1">
      <c r="A71" s="362"/>
    </row>
    <row r="72" spans="1:1">
      <c r="A72" s="362"/>
    </row>
    <row r="73" spans="1:1">
      <c r="A73" s="362"/>
    </row>
    <row r="74" spans="1:1">
      <c r="A74" s="362"/>
    </row>
    <row r="75" spans="1:1">
      <c r="A75" s="362"/>
    </row>
    <row r="76" spans="1:1">
      <c r="A76" s="362"/>
    </row>
    <row r="77" spans="1:1">
      <c r="A77" s="362"/>
    </row>
    <row r="78" spans="1:1">
      <c r="A78" s="362"/>
    </row>
    <row r="79" spans="1:1">
      <c r="A79" s="362"/>
    </row>
    <row r="80" spans="1:1">
      <c r="A80" s="362"/>
    </row>
    <row r="81" spans="1:1">
      <c r="A81" s="362"/>
    </row>
    <row r="82" spans="1:1">
      <c r="A82" s="362"/>
    </row>
    <row r="83" spans="1:1">
      <c r="A83" s="362"/>
    </row>
  </sheetData>
  <mergeCells count="26">
    <mergeCell ref="J28:P28"/>
    <mergeCell ref="A2:A25"/>
    <mergeCell ref="B2:H2"/>
    <mergeCell ref="J2:P2"/>
    <mergeCell ref="B3:H3"/>
    <mergeCell ref="J3:P3"/>
    <mergeCell ref="B14:H14"/>
    <mergeCell ref="J14:P14"/>
    <mergeCell ref="B15:H15"/>
    <mergeCell ref="J15:P15"/>
    <mergeCell ref="B1:P1"/>
    <mergeCell ref="B26:P26"/>
    <mergeCell ref="B52:P52"/>
    <mergeCell ref="A26:A51"/>
    <mergeCell ref="A52:A83"/>
    <mergeCell ref="B53:H53"/>
    <mergeCell ref="J53:P53"/>
    <mergeCell ref="B54:H54"/>
    <mergeCell ref="J54:P54"/>
    <mergeCell ref="B42:H42"/>
    <mergeCell ref="J42:P42"/>
    <mergeCell ref="B43:H43"/>
    <mergeCell ref="J43:P43"/>
    <mergeCell ref="B27:H27"/>
    <mergeCell ref="J27:P27"/>
    <mergeCell ref="B28:H28"/>
  </mergeCells>
  <printOptions horizontalCentered="1" verticalCentered="1"/>
  <pageMargins left="0" right="0" top="0" bottom="0" header="0" footer="0"/>
  <pageSetup paperSize="5" scale="90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66"/>
  </sheetPr>
  <dimension ref="A1:S29"/>
  <sheetViews>
    <sheetView topLeftCell="B10" zoomScale="118" zoomScaleNormal="118" workbookViewId="0">
      <selection activeCell="F12" sqref="F12:F13"/>
    </sheetView>
  </sheetViews>
  <sheetFormatPr defaultRowHeight="15"/>
  <cols>
    <col min="1" max="1" width="1.28515625" hidden="1" customWidth="1"/>
    <col min="2" max="2" width="1.28515625" customWidth="1"/>
    <col min="3" max="3" width="13.5703125" customWidth="1"/>
    <col min="4" max="4" width="13.7109375" customWidth="1"/>
    <col min="5" max="5" width="12.140625" customWidth="1"/>
    <col min="6" max="6" width="21.7109375" customWidth="1"/>
    <col min="7" max="7" width="12.42578125" customWidth="1"/>
    <col min="8" max="8" width="12" customWidth="1"/>
    <col min="9" max="9" width="11.5703125" customWidth="1"/>
    <col min="10" max="10" width="12.85546875" customWidth="1"/>
    <col min="11" max="11" width="12.5703125" customWidth="1"/>
    <col min="12" max="12" width="21.5703125" customWidth="1"/>
    <col min="13" max="13" width="12.140625" customWidth="1"/>
    <col min="14" max="14" width="11" customWidth="1"/>
    <col min="15" max="15" width="8" customWidth="1"/>
  </cols>
  <sheetData>
    <row r="1" spans="2:19" ht="42.6" customHeight="1" thickBot="1">
      <c r="B1" s="362"/>
    </row>
    <row r="2" spans="2:19" ht="34.5" customHeight="1" thickTop="1" thickBot="1">
      <c r="B2" s="362"/>
      <c r="C2" s="397" t="s">
        <v>236</v>
      </c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9"/>
      <c r="P2" s="245"/>
      <c r="Q2" s="245"/>
      <c r="R2" s="245"/>
      <c r="S2" s="245"/>
    </row>
    <row r="3" spans="2:19" ht="2.25" customHeight="1" thickTop="1">
      <c r="B3" s="362"/>
    </row>
    <row r="4" spans="2:19" ht="21" customHeight="1">
      <c r="B4" s="362"/>
      <c r="C4" s="402" t="s">
        <v>37</v>
      </c>
      <c r="D4" s="403"/>
      <c r="E4" s="403"/>
      <c r="F4" s="403"/>
      <c r="G4" s="400" t="s">
        <v>60</v>
      </c>
      <c r="H4" s="400" t="s">
        <v>61</v>
      </c>
      <c r="I4" s="402" t="s">
        <v>36</v>
      </c>
      <c r="J4" s="402"/>
      <c r="K4" s="402"/>
      <c r="L4" s="400" t="s">
        <v>62</v>
      </c>
      <c r="M4" s="400" t="s">
        <v>63</v>
      </c>
      <c r="N4" s="400" t="s">
        <v>64</v>
      </c>
      <c r="O4" s="401" t="s">
        <v>34</v>
      </c>
    </row>
    <row r="5" spans="2:19" ht="48" customHeight="1">
      <c r="B5" s="362"/>
      <c r="C5" s="102" t="s">
        <v>31</v>
      </c>
      <c r="D5" s="102" t="s">
        <v>32</v>
      </c>
      <c r="E5" s="102" t="s">
        <v>35</v>
      </c>
      <c r="F5" s="102" t="s">
        <v>65</v>
      </c>
      <c r="G5" s="400"/>
      <c r="H5" s="400"/>
      <c r="I5" s="103" t="s">
        <v>33</v>
      </c>
      <c r="J5" s="102" t="s">
        <v>66</v>
      </c>
      <c r="K5" s="102" t="s">
        <v>67</v>
      </c>
      <c r="L5" s="400"/>
      <c r="M5" s="400"/>
      <c r="N5" s="400"/>
      <c r="O5" s="401"/>
      <c r="P5" s="5"/>
      <c r="Q5" s="5"/>
      <c r="R5" s="5"/>
      <c r="S5" s="5"/>
    </row>
    <row r="6" spans="2:19" ht="18" customHeight="1">
      <c r="B6" s="362"/>
      <c r="C6" s="387" t="s">
        <v>145</v>
      </c>
      <c r="D6" s="383">
        <v>45752</v>
      </c>
      <c r="E6" s="377">
        <v>55</v>
      </c>
      <c r="F6" s="389" t="s">
        <v>83</v>
      </c>
      <c r="G6" s="231" t="s">
        <v>191</v>
      </c>
      <c r="H6" s="381" t="s">
        <v>146</v>
      </c>
      <c r="I6" s="381" t="s">
        <v>146</v>
      </c>
      <c r="J6" s="383">
        <f>D6</f>
        <v>45752</v>
      </c>
      <c r="K6" s="383">
        <f>D6</f>
        <v>45752</v>
      </c>
      <c r="L6" s="381" t="s">
        <v>144</v>
      </c>
      <c r="M6" s="385">
        <v>0</v>
      </c>
      <c r="N6" s="377">
        <f>E6-M6</f>
        <v>55</v>
      </c>
      <c r="O6" s="379"/>
    </row>
    <row r="7" spans="2:19" ht="18" customHeight="1">
      <c r="B7" s="362"/>
      <c r="C7" s="388"/>
      <c r="D7" s="384"/>
      <c r="E7" s="378"/>
      <c r="F7" s="390"/>
      <c r="G7" s="232">
        <f>D6</f>
        <v>45752</v>
      </c>
      <c r="H7" s="382"/>
      <c r="I7" s="382"/>
      <c r="J7" s="384"/>
      <c r="K7" s="384"/>
      <c r="L7" s="382"/>
      <c r="M7" s="386"/>
      <c r="N7" s="378"/>
      <c r="O7" s="380"/>
    </row>
    <row r="8" spans="2:19" ht="18" customHeight="1">
      <c r="B8" s="362"/>
      <c r="C8" s="387" t="s">
        <v>38</v>
      </c>
      <c r="D8" s="383" t="s">
        <v>181</v>
      </c>
      <c r="E8" s="377">
        <v>1500</v>
      </c>
      <c r="F8" s="393" t="s">
        <v>158</v>
      </c>
      <c r="G8" s="233" t="s">
        <v>192</v>
      </c>
      <c r="H8" s="395" t="s">
        <v>146</v>
      </c>
      <c r="I8" s="381" t="s">
        <v>146</v>
      </c>
      <c r="J8" s="383" t="str">
        <f>D8</f>
        <v>24/06/2025</v>
      </c>
      <c r="K8" s="383" t="str">
        <f>D8</f>
        <v>24/06/2025</v>
      </c>
      <c r="L8" s="381" t="s">
        <v>144</v>
      </c>
      <c r="M8" s="385">
        <v>1500</v>
      </c>
      <c r="N8" s="377">
        <f>E8-M8</f>
        <v>0</v>
      </c>
      <c r="O8" s="379"/>
    </row>
    <row r="9" spans="2:19" ht="18" customHeight="1">
      <c r="B9" s="362"/>
      <c r="C9" s="388"/>
      <c r="D9" s="384"/>
      <c r="E9" s="378"/>
      <c r="F9" s="394"/>
      <c r="G9" s="234" t="str">
        <f>D8</f>
        <v>24/06/2025</v>
      </c>
      <c r="H9" s="396"/>
      <c r="I9" s="382"/>
      <c r="J9" s="384"/>
      <c r="K9" s="384"/>
      <c r="L9" s="382"/>
      <c r="M9" s="386"/>
      <c r="N9" s="378"/>
      <c r="O9" s="380"/>
      <c r="R9" s="101"/>
    </row>
    <row r="10" spans="2:19" ht="18" customHeight="1">
      <c r="B10" s="362"/>
      <c r="C10" s="387" t="s">
        <v>38</v>
      </c>
      <c r="D10" s="383" t="s">
        <v>181</v>
      </c>
      <c r="E10" s="377">
        <v>500</v>
      </c>
      <c r="F10" s="389" t="s">
        <v>159</v>
      </c>
      <c r="G10" s="235" t="s">
        <v>192</v>
      </c>
      <c r="H10" s="381" t="s">
        <v>146</v>
      </c>
      <c r="I10" s="381" t="s">
        <v>146</v>
      </c>
      <c r="J10" s="383" t="str">
        <f>D10</f>
        <v>24/06/2025</v>
      </c>
      <c r="K10" s="383" t="str">
        <f>D10</f>
        <v>24/06/2025</v>
      </c>
      <c r="L10" s="381" t="s">
        <v>144</v>
      </c>
      <c r="M10" s="385">
        <v>500</v>
      </c>
      <c r="N10" s="377">
        <f>E10-M10</f>
        <v>0</v>
      </c>
      <c r="O10" s="379"/>
    </row>
    <row r="11" spans="2:19" ht="18" customHeight="1">
      <c r="B11" s="362"/>
      <c r="C11" s="388"/>
      <c r="D11" s="384"/>
      <c r="E11" s="378"/>
      <c r="F11" s="390"/>
      <c r="G11" s="230" t="str">
        <f>D10</f>
        <v>24/06/2025</v>
      </c>
      <c r="H11" s="382"/>
      <c r="I11" s="382"/>
      <c r="J11" s="384"/>
      <c r="K11" s="384"/>
      <c r="L11" s="382"/>
      <c r="M11" s="386"/>
      <c r="N11" s="378"/>
      <c r="O11" s="380"/>
    </row>
    <row r="12" spans="2:19" ht="18" customHeight="1">
      <c r="B12" s="362"/>
      <c r="C12" s="387" t="s">
        <v>38</v>
      </c>
      <c r="D12" s="383" t="s">
        <v>181</v>
      </c>
      <c r="E12" s="377">
        <v>3000</v>
      </c>
      <c r="F12" s="389" t="s">
        <v>195</v>
      </c>
      <c r="G12" s="231" t="s">
        <v>192</v>
      </c>
      <c r="H12" s="381" t="s">
        <v>146</v>
      </c>
      <c r="I12" s="381" t="s">
        <v>146</v>
      </c>
      <c r="J12" s="383" t="str">
        <f>D12</f>
        <v>24/06/2025</v>
      </c>
      <c r="K12" s="383" t="str">
        <f>D12</f>
        <v>24/06/2025</v>
      </c>
      <c r="L12" s="381" t="s">
        <v>144</v>
      </c>
      <c r="M12" s="385">
        <v>3000</v>
      </c>
      <c r="N12" s="377">
        <f>E12-M12</f>
        <v>0</v>
      </c>
      <c r="O12" s="379"/>
    </row>
    <row r="13" spans="2:19" ht="18" customHeight="1">
      <c r="B13" s="362"/>
      <c r="C13" s="388"/>
      <c r="D13" s="384"/>
      <c r="E13" s="378"/>
      <c r="F13" s="390"/>
      <c r="G13" s="230" t="str">
        <f>D12</f>
        <v>24/06/2025</v>
      </c>
      <c r="H13" s="382"/>
      <c r="I13" s="382"/>
      <c r="J13" s="384"/>
      <c r="K13" s="384"/>
      <c r="L13" s="382"/>
      <c r="M13" s="386"/>
      <c r="N13" s="378"/>
      <c r="O13" s="380"/>
    </row>
    <row r="14" spans="2:19" ht="18" customHeight="1">
      <c r="B14" s="362"/>
      <c r="C14" s="387" t="s">
        <v>38</v>
      </c>
      <c r="D14" s="383" t="s">
        <v>194</v>
      </c>
      <c r="E14" s="377">
        <v>1100</v>
      </c>
      <c r="F14" s="389" t="s">
        <v>72</v>
      </c>
      <c r="G14" s="231" t="s">
        <v>192</v>
      </c>
      <c r="H14" s="381" t="s">
        <v>146</v>
      </c>
      <c r="I14" s="381" t="s">
        <v>146</v>
      </c>
      <c r="J14" s="383" t="str">
        <f>D14</f>
        <v>16/07/2025</v>
      </c>
      <c r="K14" s="383" t="str">
        <f>D14</f>
        <v>16/07/2025</v>
      </c>
      <c r="L14" s="381" t="s">
        <v>144</v>
      </c>
      <c r="M14" s="385">
        <v>1100</v>
      </c>
      <c r="N14" s="377">
        <f>E14-M14</f>
        <v>0</v>
      </c>
      <c r="O14" s="379"/>
    </row>
    <row r="15" spans="2:19" ht="18" customHeight="1">
      <c r="B15" s="362"/>
      <c r="C15" s="388"/>
      <c r="D15" s="384"/>
      <c r="E15" s="378"/>
      <c r="F15" s="390"/>
      <c r="G15" s="232" t="str">
        <f>D14</f>
        <v>16/07/2025</v>
      </c>
      <c r="H15" s="382"/>
      <c r="I15" s="382"/>
      <c r="J15" s="384"/>
      <c r="K15" s="384"/>
      <c r="L15" s="382"/>
      <c r="M15" s="386"/>
      <c r="N15" s="378"/>
      <c r="O15" s="380"/>
    </row>
    <row r="16" spans="2:19" ht="18" customHeight="1">
      <c r="B16" s="362"/>
      <c r="C16" s="387" t="s">
        <v>38</v>
      </c>
      <c r="D16" s="383">
        <v>45357</v>
      </c>
      <c r="E16" s="377">
        <v>1000</v>
      </c>
      <c r="F16" s="393" t="s">
        <v>196</v>
      </c>
      <c r="G16" s="231" t="s">
        <v>192</v>
      </c>
      <c r="H16" s="395" t="s">
        <v>146</v>
      </c>
      <c r="I16" s="381" t="s">
        <v>146</v>
      </c>
      <c r="J16" s="383">
        <f>D16</f>
        <v>45357</v>
      </c>
      <c r="K16" s="383">
        <f>D16</f>
        <v>45357</v>
      </c>
      <c r="L16" s="381" t="s">
        <v>144</v>
      </c>
      <c r="M16" s="385">
        <v>1000</v>
      </c>
      <c r="N16" s="377">
        <f>E16-M16</f>
        <v>0</v>
      </c>
      <c r="O16" s="379"/>
    </row>
    <row r="17" spans="2:18" ht="18" customHeight="1">
      <c r="B17" s="362"/>
      <c r="C17" s="388"/>
      <c r="D17" s="384"/>
      <c r="E17" s="378"/>
      <c r="F17" s="394"/>
      <c r="G17" s="234">
        <f>D16</f>
        <v>45357</v>
      </c>
      <c r="H17" s="396"/>
      <c r="I17" s="382"/>
      <c r="J17" s="384"/>
      <c r="K17" s="384"/>
      <c r="L17" s="382"/>
      <c r="M17" s="386"/>
      <c r="N17" s="378"/>
      <c r="O17" s="380"/>
      <c r="R17" s="101"/>
    </row>
    <row r="18" spans="2:18" ht="18" customHeight="1">
      <c r="B18" s="362"/>
      <c r="C18" s="387" t="s">
        <v>145</v>
      </c>
      <c r="D18" s="383">
        <v>45724</v>
      </c>
      <c r="E18" s="377">
        <v>52</v>
      </c>
      <c r="F18" s="389" t="s">
        <v>83</v>
      </c>
      <c r="G18" s="231" t="s">
        <v>191</v>
      </c>
      <c r="H18" s="381" t="s">
        <v>146</v>
      </c>
      <c r="I18" s="381" t="s">
        <v>146</v>
      </c>
      <c r="J18" s="383">
        <f>D18</f>
        <v>45724</v>
      </c>
      <c r="K18" s="383">
        <f>D18</f>
        <v>45724</v>
      </c>
      <c r="L18" s="381" t="s">
        <v>144</v>
      </c>
      <c r="M18" s="385">
        <v>0</v>
      </c>
      <c r="N18" s="377">
        <f>E18-M18</f>
        <v>52</v>
      </c>
      <c r="O18" s="379"/>
    </row>
    <row r="19" spans="2:18" ht="18" customHeight="1">
      <c r="B19" s="362"/>
      <c r="C19" s="388"/>
      <c r="D19" s="384"/>
      <c r="E19" s="378"/>
      <c r="F19" s="390"/>
      <c r="G19" s="230">
        <f>D18</f>
        <v>45724</v>
      </c>
      <c r="H19" s="382"/>
      <c r="I19" s="382"/>
      <c r="J19" s="384"/>
      <c r="K19" s="384"/>
      <c r="L19" s="382"/>
      <c r="M19" s="386"/>
      <c r="N19" s="378"/>
      <c r="O19" s="380"/>
    </row>
    <row r="20" spans="2:18" ht="18" customHeight="1">
      <c r="B20" s="362"/>
      <c r="C20" s="387" t="s">
        <v>38</v>
      </c>
      <c r="D20" s="383" t="s">
        <v>193</v>
      </c>
      <c r="E20" s="377">
        <v>1200</v>
      </c>
      <c r="F20" s="389" t="s">
        <v>197</v>
      </c>
      <c r="G20" s="231" t="s">
        <v>192</v>
      </c>
      <c r="H20" s="381" t="s">
        <v>146</v>
      </c>
      <c r="I20" s="381" t="s">
        <v>146</v>
      </c>
      <c r="J20" s="383" t="str">
        <f>D20</f>
        <v>13/08/2025</v>
      </c>
      <c r="K20" s="383" t="str">
        <f>D20</f>
        <v>13/08/2025</v>
      </c>
      <c r="L20" s="381" t="s">
        <v>144</v>
      </c>
      <c r="M20" s="385">
        <v>1200</v>
      </c>
      <c r="N20" s="377">
        <f>E20-M20</f>
        <v>0</v>
      </c>
      <c r="O20" s="379"/>
    </row>
    <row r="21" spans="2:18" ht="18" customHeight="1">
      <c r="B21" s="362"/>
      <c r="C21" s="388"/>
      <c r="D21" s="384"/>
      <c r="E21" s="378"/>
      <c r="F21" s="390"/>
      <c r="G21" s="230" t="str">
        <f>D20</f>
        <v>13/08/2025</v>
      </c>
      <c r="H21" s="382"/>
      <c r="I21" s="382"/>
      <c r="J21" s="384"/>
      <c r="K21" s="384"/>
      <c r="L21" s="382"/>
      <c r="M21" s="386"/>
      <c r="N21" s="378"/>
      <c r="O21" s="380"/>
    </row>
    <row r="22" spans="2:18" ht="18" customHeight="1">
      <c r="B22" s="362"/>
      <c r="C22" s="387" t="s">
        <v>145</v>
      </c>
      <c r="D22" s="383">
        <v>45699</v>
      </c>
      <c r="E22" s="377">
        <v>29</v>
      </c>
      <c r="F22" s="389" t="s">
        <v>83</v>
      </c>
      <c r="G22" s="231" t="s">
        <v>191</v>
      </c>
      <c r="H22" s="381" t="s">
        <v>146</v>
      </c>
      <c r="I22" s="381" t="s">
        <v>146</v>
      </c>
      <c r="J22" s="383">
        <f>D22</f>
        <v>45699</v>
      </c>
      <c r="K22" s="383">
        <f>D22</f>
        <v>45699</v>
      </c>
      <c r="L22" s="381" t="s">
        <v>144</v>
      </c>
      <c r="M22" s="385">
        <v>0</v>
      </c>
      <c r="N22" s="377">
        <f>E22-M22</f>
        <v>29</v>
      </c>
      <c r="O22" s="379"/>
    </row>
    <row r="23" spans="2:18" ht="18" customHeight="1">
      <c r="B23" s="362"/>
      <c r="C23" s="388"/>
      <c r="D23" s="384"/>
      <c r="E23" s="378"/>
      <c r="F23" s="390"/>
      <c r="G23" s="232">
        <f>D22</f>
        <v>45699</v>
      </c>
      <c r="H23" s="382"/>
      <c r="I23" s="382"/>
      <c r="J23" s="384"/>
      <c r="K23" s="384"/>
      <c r="L23" s="382"/>
      <c r="M23" s="386"/>
      <c r="N23" s="378"/>
      <c r="O23" s="380"/>
    </row>
    <row r="24" spans="2:18" ht="18" customHeight="1">
      <c r="B24" s="362"/>
      <c r="C24" s="387" t="s">
        <v>38</v>
      </c>
      <c r="D24" s="383" t="s">
        <v>328</v>
      </c>
      <c r="E24" s="377">
        <v>17963</v>
      </c>
      <c r="F24" s="391" t="s">
        <v>270</v>
      </c>
      <c r="G24" s="231" t="s">
        <v>192</v>
      </c>
      <c r="H24" s="381" t="s">
        <v>331</v>
      </c>
      <c r="I24" s="381" t="s">
        <v>331</v>
      </c>
      <c r="J24" s="383" t="str">
        <f>D24</f>
        <v>30/01/2026</v>
      </c>
      <c r="K24" s="383" t="str">
        <f>D24</f>
        <v>30/01/2026</v>
      </c>
      <c r="L24" s="381" t="s">
        <v>144</v>
      </c>
      <c r="M24" s="385">
        <v>17963</v>
      </c>
      <c r="N24" s="377">
        <f>E24-M24</f>
        <v>0</v>
      </c>
      <c r="O24" s="379"/>
    </row>
    <row r="25" spans="2:18" ht="18" customHeight="1">
      <c r="B25" s="362"/>
      <c r="C25" s="388"/>
      <c r="D25" s="384"/>
      <c r="E25" s="378"/>
      <c r="F25" s="392"/>
      <c r="G25" s="234" t="str">
        <f>D24</f>
        <v>30/01/2026</v>
      </c>
      <c r="H25" s="382"/>
      <c r="I25" s="382"/>
      <c r="J25" s="384"/>
      <c r="K25" s="384"/>
      <c r="L25" s="382"/>
      <c r="M25" s="386"/>
      <c r="N25" s="378"/>
      <c r="O25" s="380"/>
      <c r="R25" s="101"/>
    </row>
    <row r="26" spans="2:18" ht="18" customHeight="1">
      <c r="B26" s="362"/>
      <c r="C26" s="387" t="s">
        <v>145</v>
      </c>
      <c r="D26" s="383">
        <v>46175</v>
      </c>
      <c r="E26" s="377">
        <v>28</v>
      </c>
      <c r="F26" s="389" t="s">
        <v>83</v>
      </c>
      <c r="G26" s="231" t="s">
        <v>191</v>
      </c>
      <c r="H26" s="381" t="s">
        <v>146</v>
      </c>
      <c r="I26" s="381" t="s">
        <v>146</v>
      </c>
      <c r="J26" s="383">
        <f>D26</f>
        <v>46175</v>
      </c>
      <c r="K26" s="383">
        <f>D26</f>
        <v>46175</v>
      </c>
      <c r="L26" s="381" t="s">
        <v>144</v>
      </c>
      <c r="M26" s="385">
        <v>0</v>
      </c>
      <c r="N26" s="377">
        <f>E26-M26</f>
        <v>28</v>
      </c>
      <c r="O26" s="379"/>
    </row>
    <row r="27" spans="2:18" ht="18" customHeight="1">
      <c r="B27" s="362"/>
      <c r="C27" s="388"/>
      <c r="D27" s="384"/>
      <c r="E27" s="378"/>
      <c r="F27" s="390"/>
      <c r="G27" s="230">
        <f>D26</f>
        <v>46175</v>
      </c>
      <c r="H27" s="382"/>
      <c r="I27" s="382"/>
      <c r="J27" s="384"/>
      <c r="K27" s="384"/>
      <c r="L27" s="382"/>
      <c r="M27" s="386"/>
      <c r="N27" s="378"/>
      <c r="O27" s="380"/>
    </row>
    <row r="28" spans="2:18" ht="18" customHeight="1">
      <c r="B28" s="362"/>
      <c r="C28" s="387" t="s">
        <v>38</v>
      </c>
      <c r="D28" s="383" t="s">
        <v>315</v>
      </c>
      <c r="E28" s="377">
        <v>3000</v>
      </c>
      <c r="F28" s="389" t="s">
        <v>195</v>
      </c>
      <c r="G28" s="231" t="s">
        <v>192</v>
      </c>
      <c r="H28" s="381" t="s">
        <v>146</v>
      </c>
      <c r="I28" s="381" t="s">
        <v>146</v>
      </c>
      <c r="J28" s="383" t="str">
        <f>D28</f>
        <v>18/03/2026</v>
      </c>
      <c r="K28" s="383" t="str">
        <f>D28</f>
        <v>18/03/2026</v>
      </c>
      <c r="L28" s="381" t="s">
        <v>144</v>
      </c>
      <c r="M28" s="385">
        <v>3000</v>
      </c>
      <c r="N28" s="377">
        <f>E28-M28</f>
        <v>0</v>
      </c>
      <c r="O28" s="379"/>
    </row>
    <row r="29" spans="2:18" ht="18" customHeight="1">
      <c r="B29" s="362"/>
      <c r="C29" s="388"/>
      <c r="D29" s="384"/>
      <c r="E29" s="378"/>
      <c r="F29" s="390"/>
      <c r="G29" s="230" t="str">
        <f>D28</f>
        <v>18/03/2026</v>
      </c>
      <c r="H29" s="382"/>
      <c r="I29" s="382"/>
      <c r="J29" s="384"/>
      <c r="K29" s="384"/>
      <c r="L29" s="382"/>
      <c r="M29" s="386"/>
      <c r="N29" s="378"/>
      <c r="O29" s="380"/>
    </row>
  </sheetData>
  <mergeCells count="154">
    <mergeCell ref="C2:O2"/>
    <mergeCell ref="B1:B29"/>
    <mergeCell ref="N4:N5"/>
    <mergeCell ref="O4:O5"/>
    <mergeCell ref="C4:F4"/>
    <mergeCell ref="I4:K4"/>
    <mergeCell ref="G4:G5"/>
    <mergeCell ref="H4:H5"/>
    <mergeCell ref="L4:L5"/>
    <mergeCell ref="M4:M5"/>
    <mergeCell ref="M22:M23"/>
    <mergeCell ref="N22:N23"/>
    <mergeCell ref="O22:O23"/>
    <mergeCell ref="H22:H23"/>
    <mergeCell ref="L22:L23"/>
    <mergeCell ref="C22:C23"/>
    <mergeCell ref="D22:D23"/>
    <mergeCell ref="E22:E23"/>
    <mergeCell ref="F22:F23"/>
    <mergeCell ref="I22:I23"/>
    <mergeCell ref="J22:J23"/>
    <mergeCell ref="K22:K23"/>
    <mergeCell ref="N6:N7"/>
    <mergeCell ref="O6:O7"/>
    <mergeCell ref="C8:C9"/>
    <mergeCell ref="D8:D9"/>
    <mergeCell ref="O8:O9"/>
    <mergeCell ref="I6:I7"/>
    <mergeCell ref="J6:J7"/>
    <mergeCell ref="K6:K7"/>
    <mergeCell ref="L6:L7"/>
    <mergeCell ref="M6:M7"/>
    <mergeCell ref="C6:C7"/>
    <mergeCell ref="D6:D7"/>
    <mergeCell ref="E6:E7"/>
    <mergeCell ref="F6:F7"/>
    <mergeCell ref="H6:H7"/>
    <mergeCell ref="E8:E9"/>
    <mergeCell ref="F8:F9"/>
    <mergeCell ref="H8:H9"/>
    <mergeCell ref="I8:I9"/>
    <mergeCell ref="J8:J9"/>
    <mergeCell ref="K8:K9"/>
    <mergeCell ref="L8:L9"/>
    <mergeCell ref="M8:M9"/>
    <mergeCell ref="N8:N9"/>
    <mergeCell ref="N10:N11"/>
    <mergeCell ref="O10:O11"/>
    <mergeCell ref="C12:C13"/>
    <mergeCell ref="D12:D13"/>
    <mergeCell ref="E12:E13"/>
    <mergeCell ref="F12:F13"/>
    <mergeCell ref="H12:H13"/>
    <mergeCell ref="I12:I13"/>
    <mergeCell ref="J12:J13"/>
    <mergeCell ref="K12:K13"/>
    <mergeCell ref="L12:L13"/>
    <mergeCell ref="M12:M13"/>
    <mergeCell ref="N12:N13"/>
    <mergeCell ref="O12:O13"/>
    <mergeCell ref="I10:I11"/>
    <mergeCell ref="J10:J11"/>
    <mergeCell ref="K10:K11"/>
    <mergeCell ref="L10:L11"/>
    <mergeCell ref="M10:M11"/>
    <mergeCell ref="C10:C11"/>
    <mergeCell ref="D10:D11"/>
    <mergeCell ref="E10:E11"/>
    <mergeCell ref="F10:F11"/>
    <mergeCell ref="H10:H11"/>
    <mergeCell ref="N14:N15"/>
    <mergeCell ref="O14:O15"/>
    <mergeCell ref="C16:C17"/>
    <mergeCell ref="D16:D17"/>
    <mergeCell ref="E16:E17"/>
    <mergeCell ref="F16:F17"/>
    <mergeCell ref="H16:H17"/>
    <mergeCell ref="I16:I17"/>
    <mergeCell ref="J16:J17"/>
    <mergeCell ref="K16:K17"/>
    <mergeCell ref="L16:L17"/>
    <mergeCell ref="M16:M17"/>
    <mergeCell ref="N16:N17"/>
    <mergeCell ref="O16:O17"/>
    <mergeCell ref="I14:I15"/>
    <mergeCell ref="J14:J15"/>
    <mergeCell ref="K14:K15"/>
    <mergeCell ref="L14:L15"/>
    <mergeCell ref="M14:M15"/>
    <mergeCell ref="C14:C15"/>
    <mergeCell ref="D14:D15"/>
    <mergeCell ref="E14:E15"/>
    <mergeCell ref="F14:F15"/>
    <mergeCell ref="H14:H15"/>
    <mergeCell ref="N18:N19"/>
    <mergeCell ref="O18:O19"/>
    <mergeCell ref="C20:C21"/>
    <mergeCell ref="D20:D21"/>
    <mergeCell ref="E20:E21"/>
    <mergeCell ref="F20:F21"/>
    <mergeCell ref="H20:H21"/>
    <mergeCell ref="I20:I21"/>
    <mergeCell ref="J20:J21"/>
    <mergeCell ref="K20:K21"/>
    <mergeCell ref="L20:L21"/>
    <mergeCell ref="M20:M21"/>
    <mergeCell ref="N20:N21"/>
    <mergeCell ref="O20:O21"/>
    <mergeCell ref="I18:I19"/>
    <mergeCell ref="J18:J19"/>
    <mergeCell ref="K18:K19"/>
    <mergeCell ref="L18:L19"/>
    <mergeCell ref="M18:M19"/>
    <mergeCell ref="C18:C19"/>
    <mergeCell ref="D18:D19"/>
    <mergeCell ref="E18:E19"/>
    <mergeCell ref="F18:F19"/>
    <mergeCell ref="H18:H19"/>
    <mergeCell ref="N24:N25"/>
    <mergeCell ref="O24:O25"/>
    <mergeCell ref="C26:C27"/>
    <mergeCell ref="D26:D27"/>
    <mergeCell ref="E26:E27"/>
    <mergeCell ref="F26:F27"/>
    <mergeCell ref="H26:H27"/>
    <mergeCell ref="I26:I27"/>
    <mergeCell ref="J26:J27"/>
    <mergeCell ref="K26:K27"/>
    <mergeCell ref="L26:L27"/>
    <mergeCell ref="M26:M27"/>
    <mergeCell ref="N26:N27"/>
    <mergeCell ref="O26:O27"/>
    <mergeCell ref="I24:I25"/>
    <mergeCell ref="J24:J25"/>
    <mergeCell ref="K24:K25"/>
    <mergeCell ref="L24:L25"/>
    <mergeCell ref="M24:M25"/>
    <mergeCell ref="C24:C25"/>
    <mergeCell ref="D24:D25"/>
    <mergeCell ref="E24:E25"/>
    <mergeCell ref="F24:F25"/>
    <mergeCell ref="H24:H25"/>
    <mergeCell ref="N28:N29"/>
    <mergeCell ref="O28:O29"/>
    <mergeCell ref="I28:I29"/>
    <mergeCell ref="J28:J29"/>
    <mergeCell ref="K28:K29"/>
    <mergeCell ref="L28:L29"/>
    <mergeCell ref="M28:M29"/>
    <mergeCell ref="C28:C29"/>
    <mergeCell ref="D28:D29"/>
    <mergeCell ref="E28:E29"/>
    <mergeCell ref="F28:F29"/>
    <mergeCell ref="H28:H29"/>
  </mergeCells>
  <pageMargins left="0" right="0" top="0" bottom="0.75" header="0" footer="0"/>
  <pageSetup paperSize="5" scale="97" orientation="landscape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B1:N17"/>
  <sheetViews>
    <sheetView tabSelected="1" zoomScaleNormal="100" workbookViewId="0">
      <selection activeCell="D6" sqref="D6"/>
    </sheetView>
  </sheetViews>
  <sheetFormatPr defaultRowHeight="15"/>
  <cols>
    <col min="1" max="1" width="1.7109375" customWidth="1"/>
    <col min="2" max="2" width="5.140625" customWidth="1"/>
    <col min="3" max="3" width="6.28515625" customWidth="1"/>
    <col min="4" max="4" width="15" customWidth="1"/>
    <col min="5" max="5" width="6.28515625" customWidth="1"/>
    <col min="6" max="6" width="13" customWidth="1"/>
    <col min="7" max="7" width="12.7109375" customWidth="1"/>
    <col min="8" max="8" width="29.140625" customWidth="1"/>
    <col min="9" max="9" width="12.7109375" customWidth="1"/>
    <col min="10" max="10" width="38.7109375" customWidth="1"/>
    <col min="11" max="11" width="14.42578125" customWidth="1"/>
    <col min="12" max="12" width="15" customWidth="1"/>
    <col min="13" max="13" width="6.42578125" customWidth="1"/>
  </cols>
  <sheetData>
    <row r="1" spans="2:14" ht="42.6" customHeight="1" thickBot="1"/>
    <row r="2" spans="2:14" ht="34.5" customHeight="1" thickBot="1">
      <c r="B2" s="331" t="s">
        <v>235</v>
      </c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3"/>
      <c r="N2" s="279"/>
    </row>
    <row r="3" spans="2:14" ht="11.25" customHeight="1" thickBot="1"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</row>
    <row r="4" spans="2:14" ht="95.25" thickTop="1" thickBot="1">
      <c r="B4" s="87" t="s">
        <v>1</v>
      </c>
      <c r="C4" s="88" t="s">
        <v>342</v>
      </c>
      <c r="D4" s="88" t="s">
        <v>343</v>
      </c>
      <c r="E4" s="88" t="s">
        <v>189</v>
      </c>
      <c r="F4" s="88" t="s">
        <v>190</v>
      </c>
      <c r="G4" s="87" t="s">
        <v>35</v>
      </c>
      <c r="H4" s="88" t="s">
        <v>54</v>
      </c>
      <c r="I4" s="87" t="s">
        <v>39</v>
      </c>
      <c r="J4" s="87" t="s">
        <v>43</v>
      </c>
      <c r="K4" s="88" t="s">
        <v>42</v>
      </c>
      <c r="L4" s="88" t="s">
        <v>40</v>
      </c>
      <c r="M4" s="87" t="s">
        <v>41</v>
      </c>
    </row>
    <row r="5" spans="2:14" ht="59.25" customHeight="1" thickTop="1" thickBot="1">
      <c r="B5" s="89">
        <v>1</v>
      </c>
      <c r="C5" s="12">
        <v>103</v>
      </c>
      <c r="D5" s="296">
        <v>45906</v>
      </c>
      <c r="E5" s="228">
        <v>1</v>
      </c>
      <c r="F5" s="210" t="s">
        <v>238</v>
      </c>
      <c r="G5" s="104">
        <v>10500</v>
      </c>
      <c r="H5" s="105" t="s">
        <v>147</v>
      </c>
      <c r="I5" s="104">
        <f>G5</f>
        <v>10500</v>
      </c>
      <c r="J5" s="106" t="s">
        <v>265</v>
      </c>
      <c r="K5" s="11"/>
      <c r="L5" s="296">
        <v>45906</v>
      </c>
      <c r="M5" s="11"/>
    </row>
    <row r="6" spans="2:14" ht="53.25" customHeight="1" thickTop="1" thickBot="1">
      <c r="B6" s="89">
        <v>2</v>
      </c>
      <c r="C6" s="12">
        <v>104</v>
      </c>
      <c r="D6" s="296">
        <v>45695</v>
      </c>
      <c r="E6" s="228">
        <v>2</v>
      </c>
      <c r="F6" s="229" t="s">
        <v>239</v>
      </c>
      <c r="G6" s="104">
        <v>5000</v>
      </c>
      <c r="H6" s="105" t="s">
        <v>147</v>
      </c>
      <c r="I6" s="104">
        <f t="shared" ref="I6:I10" si="0">G6</f>
        <v>5000</v>
      </c>
      <c r="J6" s="106" t="s">
        <v>264</v>
      </c>
      <c r="K6" s="11"/>
      <c r="L6" s="296">
        <v>45695</v>
      </c>
      <c r="M6" s="10"/>
    </row>
    <row r="7" spans="2:14" ht="39.950000000000003" customHeight="1" thickTop="1" thickBot="1">
      <c r="B7" s="89">
        <v>3</v>
      </c>
      <c r="C7" s="12">
        <v>105</v>
      </c>
      <c r="D7" s="296" t="s">
        <v>205</v>
      </c>
      <c r="E7" s="228">
        <v>3</v>
      </c>
      <c r="F7" s="229">
        <v>45717</v>
      </c>
      <c r="G7" s="104">
        <v>1100</v>
      </c>
      <c r="H7" s="105" t="s">
        <v>147</v>
      </c>
      <c r="I7" s="104">
        <f t="shared" si="0"/>
        <v>1100</v>
      </c>
      <c r="J7" s="106" t="s">
        <v>263</v>
      </c>
      <c r="K7" s="9"/>
      <c r="L7" s="296" t="s">
        <v>205</v>
      </c>
      <c r="M7" s="11"/>
    </row>
    <row r="8" spans="2:14" ht="39.950000000000003" customHeight="1" thickTop="1" thickBot="1">
      <c r="B8" s="89">
        <v>4</v>
      </c>
      <c r="C8" s="12">
        <v>106</v>
      </c>
      <c r="D8" s="296" t="s">
        <v>207</v>
      </c>
      <c r="E8" s="228">
        <v>4</v>
      </c>
      <c r="F8" s="229" t="s">
        <v>240</v>
      </c>
      <c r="G8" s="104">
        <v>1700</v>
      </c>
      <c r="H8" s="105" t="s">
        <v>147</v>
      </c>
      <c r="I8" s="104">
        <f t="shared" si="0"/>
        <v>1700</v>
      </c>
      <c r="J8" s="106" t="s">
        <v>332</v>
      </c>
      <c r="K8" s="11"/>
      <c r="L8" s="296" t="s">
        <v>207</v>
      </c>
      <c r="M8" s="11"/>
    </row>
    <row r="9" spans="2:14" ht="39.950000000000003" customHeight="1" thickTop="1" thickBot="1">
      <c r="B9" s="89">
        <v>5</v>
      </c>
      <c r="C9" s="12">
        <v>107</v>
      </c>
      <c r="D9" s="296" t="s">
        <v>335</v>
      </c>
      <c r="E9" s="228">
        <v>5</v>
      </c>
      <c r="F9" s="229"/>
      <c r="G9" s="104">
        <v>2498</v>
      </c>
      <c r="H9" s="105" t="s">
        <v>333</v>
      </c>
      <c r="I9" s="104">
        <f t="shared" si="0"/>
        <v>2498</v>
      </c>
      <c r="J9" s="203" t="s">
        <v>334</v>
      </c>
      <c r="K9" s="11"/>
      <c r="L9" s="98" t="s">
        <v>272</v>
      </c>
      <c r="M9" s="11"/>
    </row>
    <row r="10" spans="2:14" ht="39.950000000000003" customHeight="1" thickTop="1" thickBot="1">
      <c r="B10" s="89">
        <v>6</v>
      </c>
      <c r="C10" s="12">
        <v>108</v>
      </c>
      <c r="D10" s="296" t="s">
        <v>272</v>
      </c>
      <c r="E10" s="228">
        <v>6</v>
      </c>
      <c r="F10" s="229"/>
      <c r="G10" s="104">
        <v>6000</v>
      </c>
      <c r="H10" s="105" t="s">
        <v>336</v>
      </c>
      <c r="I10" s="104">
        <f t="shared" si="0"/>
        <v>6000</v>
      </c>
      <c r="J10" s="203" t="s">
        <v>154</v>
      </c>
      <c r="K10" s="11"/>
      <c r="L10" s="98">
        <v>46084</v>
      </c>
      <c r="M10" s="11"/>
    </row>
    <row r="11" spans="2:14" ht="39.950000000000003" customHeight="1" thickTop="1" thickBot="1">
      <c r="B11" s="89">
        <v>7</v>
      </c>
      <c r="C11" s="12">
        <v>109</v>
      </c>
      <c r="D11" s="296" t="s">
        <v>272</v>
      </c>
      <c r="E11" s="228">
        <v>7</v>
      </c>
      <c r="F11" s="229"/>
      <c r="G11" s="104">
        <v>11963</v>
      </c>
      <c r="H11" s="105" t="s">
        <v>153</v>
      </c>
      <c r="I11" s="104">
        <f t="shared" ref="I11" si="1">G11</f>
        <v>11963</v>
      </c>
      <c r="J11" s="203" t="s">
        <v>152</v>
      </c>
      <c r="K11" s="9"/>
      <c r="L11" s="98">
        <v>46084</v>
      </c>
      <c r="M11" s="11"/>
    </row>
    <row r="12" spans="2:14" ht="39.950000000000003" customHeight="1" thickTop="1" thickBot="1">
      <c r="B12" s="89">
        <v>8</v>
      </c>
      <c r="C12" s="12">
        <v>110</v>
      </c>
      <c r="D12" s="296" t="s">
        <v>312</v>
      </c>
      <c r="E12" s="228">
        <v>8</v>
      </c>
      <c r="F12" s="229" t="s">
        <v>337</v>
      </c>
      <c r="G12" s="104">
        <v>3500</v>
      </c>
      <c r="H12" s="105" t="s">
        <v>147</v>
      </c>
      <c r="I12" s="104">
        <f t="shared" ref="I12" si="2">G12</f>
        <v>3500</v>
      </c>
      <c r="J12" s="106" t="s">
        <v>338</v>
      </c>
      <c r="K12" s="9"/>
      <c r="L12" s="98" t="s">
        <v>312</v>
      </c>
      <c r="M12" s="11"/>
    </row>
    <row r="13" spans="2:14" ht="39.950000000000003" customHeight="1" thickTop="1">
      <c r="B13" s="117"/>
      <c r="C13" s="117"/>
      <c r="D13" s="107"/>
      <c r="E13" s="107"/>
      <c r="F13" s="90"/>
      <c r="G13" s="91"/>
      <c r="H13" s="113"/>
      <c r="I13" s="114"/>
      <c r="J13" s="115"/>
      <c r="K13" s="110"/>
      <c r="L13" s="116"/>
      <c r="M13" s="110"/>
    </row>
    <row r="14" spans="2:14" ht="39.950000000000003" customHeight="1">
      <c r="B14" s="90"/>
      <c r="C14" s="90"/>
      <c r="D14" s="107"/>
      <c r="E14" s="107"/>
      <c r="F14" s="90"/>
      <c r="G14" s="90"/>
      <c r="H14" s="108"/>
      <c r="I14" s="90"/>
      <c r="J14" s="109"/>
      <c r="K14" s="110"/>
      <c r="L14" s="111"/>
      <c r="M14" s="110"/>
    </row>
    <row r="15" spans="2:14" ht="39.950000000000003" customHeight="1">
      <c r="B15" s="90"/>
      <c r="C15" s="90"/>
      <c r="D15" s="107"/>
      <c r="E15" s="107"/>
      <c r="F15" s="90"/>
      <c r="G15" s="90"/>
      <c r="H15" s="108"/>
      <c r="I15" s="90"/>
      <c r="J15" s="112"/>
      <c r="K15" s="110"/>
      <c r="L15" s="111"/>
      <c r="M15" s="110"/>
    </row>
    <row r="16" spans="2:14" ht="38.25" customHeight="1"/>
    <row r="17" ht="35.1" customHeight="1"/>
  </sheetData>
  <mergeCells count="1">
    <mergeCell ref="B2:M2"/>
  </mergeCells>
  <phoneticPr fontId="130" type="noConversion"/>
  <pageMargins left="0" right="0" top="0" bottom="0" header="0" footer="0"/>
  <pageSetup paperSize="5" scale="95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5"/>
  <sheetViews>
    <sheetView workbookViewId="0">
      <selection activeCell="T13" sqref="T13"/>
    </sheetView>
  </sheetViews>
  <sheetFormatPr defaultRowHeight="15"/>
  <cols>
    <col min="1" max="1" width="0.7109375" style="6" customWidth="1"/>
    <col min="2" max="2" width="4.7109375" style="6" customWidth="1"/>
    <col min="3" max="3" width="8" style="6" customWidth="1"/>
    <col min="4" max="4" width="14.85546875" style="6" customWidth="1"/>
    <col min="5" max="6" width="27.140625" style="6" customWidth="1"/>
    <col min="7" max="7" width="12.5703125" style="6" customWidth="1"/>
    <col min="8" max="8" width="7.5703125" style="6" customWidth="1"/>
    <col min="9" max="9" width="4.42578125" style="6" hidden="1" customWidth="1"/>
    <col min="10" max="10" width="1.140625" style="6" customWidth="1"/>
    <col min="11" max="16384" width="9.140625" style="6"/>
  </cols>
  <sheetData>
    <row r="1" spans="1:10" ht="15.75" thickBot="1">
      <c r="A1" s="356"/>
      <c r="B1" s="356"/>
      <c r="C1" s="356"/>
      <c r="D1" s="356"/>
      <c r="E1" s="356"/>
      <c r="F1" s="356"/>
      <c r="G1" s="356"/>
      <c r="H1" s="356"/>
    </row>
    <row r="2" spans="1:10" ht="29.25" thickBot="1">
      <c r="B2" s="416" t="s">
        <v>88</v>
      </c>
      <c r="C2" s="417"/>
      <c r="D2" s="417"/>
      <c r="E2" s="417"/>
      <c r="F2" s="417"/>
      <c r="G2" s="417"/>
      <c r="H2" s="418"/>
      <c r="I2" s="7"/>
      <c r="J2" s="7"/>
    </row>
    <row r="3" spans="1:10" ht="21">
      <c r="B3" s="8"/>
      <c r="C3" s="8"/>
      <c r="D3" s="8"/>
      <c r="E3" s="8"/>
      <c r="F3" s="8"/>
      <c r="G3" s="8"/>
      <c r="H3" s="8"/>
    </row>
    <row r="4" spans="1:10" ht="21">
      <c r="B4" s="419"/>
      <c r="C4" s="419"/>
      <c r="D4" s="419"/>
      <c r="E4" s="419"/>
      <c r="F4" s="419"/>
      <c r="G4" s="419"/>
      <c r="H4" s="419"/>
    </row>
    <row r="5" spans="1:10" ht="21">
      <c r="B5" s="120"/>
      <c r="C5" s="120"/>
      <c r="D5" s="120"/>
      <c r="E5" s="120"/>
      <c r="F5" s="120"/>
      <c r="G5" s="120"/>
      <c r="H5" s="120"/>
    </row>
    <row r="6" spans="1:10" ht="27">
      <c r="B6" s="120"/>
      <c r="C6" s="120"/>
      <c r="D6" s="120"/>
      <c r="E6" s="120"/>
      <c r="F6" s="120"/>
      <c r="G6" s="420"/>
      <c r="H6" s="420"/>
    </row>
    <row r="8" spans="1:10" ht="15.75" thickBot="1">
      <c r="B8" s="412"/>
      <c r="C8" s="412"/>
      <c r="D8" s="412"/>
      <c r="E8" s="412"/>
      <c r="F8" s="412"/>
      <c r="G8" s="412"/>
      <c r="H8" s="412"/>
    </row>
    <row r="9" spans="1:10" ht="27.75" thickBot="1">
      <c r="B9" s="404" t="s">
        <v>89</v>
      </c>
      <c r="C9" s="405"/>
      <c r="D9" s="405"/>
      <c r="E9" s="121" t="s">
        <v>114</v>
      </c>
      <c r="F9" s="122" t="s">
        <v>91</v>
      </c>
      <c r="G9" s="421"/>
      <c r="H9" s="422"/>
    </row>
    <row r="10" spans="1:10" ht="27.75" thickBot="1">
      <c r="B10" s="404" t="s">
        <v>92</v>
      </c>
      <c r="C10" s="405"/>
      <c r="D10" s="405"/>
      <c r="E10" s="121" t="s">
        <v>115</v>
      </c>
      <c r="F10" s="122" t="s">
        <v>94</v>
      </c>
      <c r="G10" s="406" t="s">
        <v>116</v>
      </c>
      <c r="H10" s="407"/>
    </row>
    <row r="11" spans="1:10" ht="15.75" hidden="1" thickBot="1">
      <c r="F11" s="123"/>
      <c r="G11" s="124"/>
      <c r="H11" s="125"/>
    </row>
    <row r="12" spans="1:10" ht="15.75" thickBot="1">
      <c r="B12" s="408"/>
      <c r="C12" s="409"/>
      <c r="D12" s="409"/>
      <c r="E12" s="410"/>
      <c r="F12" s="123"/>
      <c r="G12" s="124"/>
      <c r="H12" s="125"/>
    </row>
    <row r="13" spans="1:10" ht="30.75" thickBot="1">
      <c r="B13" s="411"/>
      <c r="C13" s="412"/>
      <c r="D13" s="412"/>
      <c r="E13" s="413"/>
      <c r="F13" s="122" t="s">
        <v>95</v>
      </c>
      <c r="G13" s="414">
        <v>328</v>
      </c>
      <c r="H13" s="415"/>
      <c r="I13" s="7"/>
      <c r="J13" s="7"/>
    </row>
    <row r="14" spans="1:10" ht="15.75" thickBot="1"/>
    <row r="15" spans="1:10" ht="38.25" thickBot="1">
      <c r="B15" s="126" t="s">
        <v>96</v>
      </c>
      <c r="C15" s="127" t="s">
        <v>97</v>
      </c>
      <c r="D15" s="126" t="s">
        <v>9</v>
      </c>
      <c r="E15" s="128" t="s">
        <v>98</v>
      </c>
      <c r="F15" s="128" t="s">
        <v>99</v>
      </c>
      <c r="G15" s="126" t="s">
        <v>100</v>
      </c>
      <c r="H15" s="129" t="s">
        <v>101</v>
      </c>
    </row>
    <row r="16" spans="1:10" ht="21" thickBot="1">
      <c r="B16" s="130">
        <v>1</v>
      </c>
      <c r="C16" s="138" t="s">
        <v>86</v>
      </c>
      <c r="D16" s="132" t="s">
        <v>87</v>
      </c>
      <c r="E16" s="143" t="s">
        <v>73</v>
      </c>
      <c r="F16" s="134" t="s">
        <v>55</v>
      </c>
      <c r="G16" s="135">
        <v>328</v>
      </c>
      <c r="H16" s="136"/>
    </row>
    <row r="17" spans="2:8" ht="21" thickBot="1">
      <c r="B17" s="130"/>
      <c r="C17" s="146"/>
      <c r="D17" s="132"/>
      <c r="E17" s="142"/>
      <c r="F17" s="142"/>
      <c r="G17" s="135"/>
      <c r="H17" s="136"/>
    </row>
    <row r="18" spans="2:8" ht="21.75" thickBot="1">
      <c r="B18" s="130"/>
      <c r="C18" s="131"/>
      <c r="D18" s="132"/>
      <c r="E18" s="143"/>
      <c r="F18" s="134"/>
      <c r="G18" s="135"/>
      <c r="H18" s="136"/>
    </row>
    <row r="19" spans="2:8" ht="21.75" thickBot="1">
      <c r="B19" s="130"/>
      <c r="C19" s="131"/>
      <c r="D19" s="132"/>
      <c r="E19" s="144"/>
      <c r="F19" s="134"/>
      <c r="G19" s="135"/>
      <c r="H19" s="136"/>
    </row>
    <row r="20" spans="2:8" ht="21.75" thickBot="1">
      <c r="B20" s="130"/>
      <c r="C20" s="131"/>
      <c r="D20" s="132"/>
      <c r="E20" s="143"/>
      <c r="F20" s="134"/>
      <c r="G20" s="135"/>
      <c r="H20" s="136"/>
    </row>
    <row r="21" spans="2:8" ht="21.75" thickBot="1">
      <c r="B21" s="130"/>
      <c r="C21" s="131"/>
      <c r="D21" s="132"/>
      <c r="E21" s="144"/>
      <c r="F21" s="134"/>
      <c r="G21" s="135"/>
      <c r="H21" s="136"/>
    </row>
    <row r="22" spans="2:8" ht="21.75" thickBot="1">
      <c r="B22" s="130"/>
      <c r="C22" s="131"/>
      <c r="D22" s="132"/>
      <c r="E22" s="143"/>
      <c r="F22" s="134"/>
      <c r="G22" s="135"/>
      <c r="H22" s="136"/>
    </row>
    <row r="23" spans="2:8" ht="21" thickBot="1">
      <c r="B23" s="130"/>
      <c r="C23" s="138"/>
      <c r="D23" s="132"/>
      <c r="E23" s="137"/>
      <c r="F23" s="134"/>
      <c r="G23" s="135"/>
      <c r="H23" s="140"/>
    </row>
    <row r="24" spans="2:8" ht="21" thickBot="1">
      <c r="B24" s="130"/>
      <c r="C24" s="138"/>
      <c r="D24" s="132"/>
      <c r="E24" s="133"/>
      <c r="F24" s="134"/>
      <c r="G24" s="135"/>
      <c r="H24" s="140"/>
    </row>
    <row r="25" spans="2:8" ht="23.25" thickBot="1">
      <c r="B25" s="130"/>
      <c r="C25" s="138"/>
      <c r="D25" s="132"/>
      <c r="E25" s="137"/>
      <c r="F25" s="134"/>
      <c r="G25" s="145">
        <f>SUM(G16:G24)</f>
        <v>328</v>
      </c>
      <c r="H25" s="140"/>
    </row>
  </sheetData>
  <mergeCells count="11">
    <mergeCell ref="B10:D10"/>
    <mergeCell ref="G10:H10"/>
    <mergeCell ref="B12:E13"/>
    <mergeCell ref="G13:H13"/>
    <mergeCell ref="A1:H1"/>
    <mergeCell ref="B2:H2"/>
    <mergeCell ref="B4:H4"/>
    <mergeCell ref="G6:H6"/>
    <mergeCell ref="B8:H8"/>
    <mergeCell ref="B9:D9"/>
    <mergeCell ref="G9:H9"/>
  </mergeCells>
  <pageMargins left="0" right="0" top="0" bottom="0" header="0" footer="0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Q72"/>
  <sheetViews>
    <sheetView topLeftCell="A42" workbookViewId="0">
      <selection activeCell="D56" sqref="D56:H62"/>
    </sheetView>
  </sheetViews>
  <sheetFormatPr defaultRowHeight="15"/>
  <cols>
    <col min="1" max="1" width="1.140625" customWidth="1"/>
    <col min="2" max="2" width="5.42578125" customWidth="1"/>
    <col min="3" max="4" width="7.5703125" customWidth="1"/>
    <col min="5" max="5" width="15.85546875" customWidth="1"/>
    <col min="6" max="6" width="37.140625" customWidth="1"/>
    <col min="7" max="7" width="31.85546875" customWidth="1"/>
    <col min="8" max="8" width="16.42578125" customWidth="1"/>
    <col min="9" max="9" width="7.28515625" customWidth="1"/>
    <col min="10" max="10" width="14.85546875" customWidth="1"/>
    <col min="11" max="11" width="11.5703125" customWidth="1"/>
    <col min="13" max="13" width="8.140625" customWidth="1"/>
  </cols>
  <sheetData>
    <row r="1" spans="1:17" ht="42.6" customHeight="1" thickBot="1">
      <c r="A1" s="362"/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</row>
    <row r="2" spans="1:17" ht="30.75" customHeight="1" thickTop="1" thickBot="1">
      <c r="A2" s="362"/>
      <c r="B2" s="423" t="s">
        <v>237</v>
      </c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</row>
    <row r="3" spans="1:17" ht="3" customHeight="1" thickTop="1" thickBot="1">
      <c r="A3" s="362"/>
      <c r="B3" s="280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</row>
    <row r="4" spans="1:17" ht="15.75" hidden="1" customHeight="1" thickBot="1">
      <c r="A4" s="362"/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</row>
    <row r="5" spans="1:17" ht="15.75" hidden="1" customHeight="1" thickBot="1">
      <c r="A5" s="362"/>
      <c r="B5" s="280"/>
      <c r="C5" s="280"/>
      <c r="D5" s="280"/>
      <c r="E5" s="280"/>
      <c r="F5" s="280"/>
      <c r="G5" s="280"/>
      <c r="H5" s="280"/>
      <c r="I5" s="280"/>
      <c r="J5" s="280"/>
      <c r="K5" s="280"/>
      <c r="L5" s="280"/>
      <c r="M5" s="280"/>
    </row>
    <row r="6" spans="1:17" ht="57.75" thickTop="1" thickBot="1">
      <c r="A6" s="362"/>
      <c r="B6" s="281" t="s">
        <v>1</v>
      </c>
      <c r="C6" s="282" t="s">
        <v>46</v>
      </c>
      <c r="D6" s="282" t="s">
        <v>47</v>
      </c>
      <c r="E6" s="283" t="s">
        <v>53</v>
      </c>
      <c r="F6" s="283" t="s">
        <v>48</v>
      </c>
      <c r="G6" s="283" t="s">
        <v>49</v>
      </c>
      <c r="H6" s="283" t="s">
        <v>50</v>
      </c>
      <c r="I6" s="283" t="s">
        <v>44</v>
      </c>
      <c r="J6" s="282" t="s">
        <v>51</v>
      </c>
      <c r="K6" s="282" t="s">
        <v>52</v>
      </c>
      <c r="L6" s="283" t="s">
        <v>34</v>
      </c>
      <c r="M6" s="283" t="s">
        <v>45</v>
      </c>
    </row>
    <row r="7" spans="1:17" ht="27" customHeight="1" thickTop="1" thickBot="1">
      <c r="A7" s="362"/>
      <c r="B7" s="284">
        <v>1</v>
      </c>
      <c r="C7" s="285">
        <v>1</v>
      </c>
      <c r="D7" s="286">
        <v>45658</v>
      </c>
      <c r="E7" s="287" t="s">
        <v>254</v>
      </c>
      <c r="F7" s="288" t="s">
        <v>241</v>
      </c>
      <c r="G7" s="289" t="s">
        <v>84</v>
      </c>
      <c r="H7" s="290">
        <v>500</v>
      </c>
      <c r="I7" s="291"/>
      <c r="J7" s="290">
        <f>H7</f>
        <v>500</v>
      </c>
      <c r="K7" s="291"/>
      <c r="L7" s="291"/>
      <c r="M7" s="291"/>
    </row>
    <row r="8" spans="1:17" ht="27" customHeight="1" thickTop="1" thickBot="1">
      <c r="A8" s="362"/>
      <c r="B8" s="284">
        <v>2</v>
      </c>
      <c r="C8" s="285"/>
      <c r="D8" s="286">
        <v>45659</v>
      </c>
      <c r="E8" s="287">
        <v>45511</v>
      </c>
      <c r="F8" s="292" t="s">
        <v>70</v>
      </c>
      <c r="G8" s="293" t="s">
        <v>148</v>
      </c>
      <c r="H8" s="290">
        <v>500</v>
      </c>
      <c r="I8" s="291"/>
      <c r="J8" s="290">
        <f t="shared" ref="J8:J23" si="0">H8</f>
        <v>500</v>
      </c>
      <c r="K8" s="291"/>
      <c r="L8" s="291"/>
      <c r="M8" s="291"/>
    </row>
    <row r="9" spans="1:17" ht="27" customHeight="1" thickTop="1" thickBot="1">
      <c r="A9" s="362"/>
      <c r="B9" s="284">
        <v>3</v>
      </c>
      <c r="C9" s="285"/>
      <c r="D9" s="286">
        <v>45660</v>
      </c>
      <c r="E9" s="287">
        <v>45603</v>
      </c>
      <c r="F9" s="288" t="s">
        <v>82</v>
      </c>
      <c r="G9" s="293" t="s">
        <v>253</v>
      </c>
      <c r="H9" s="290">
        <v>500</v>
      </c>
      <c r="I9" s="291"/>
      <c r="J9" s="290">
        <f t="shared" si="0"/>
        <v>500</v>
      </c>
      <c r="K9" s="291"/>
      <c r="L9" s="291"/>
      <c r="M9" s="291"/>
    </row>
    <row r="10" spans="1:17" ht="27" customHeight="1" thickTop="1" thickBot="1">
      <c r="A10" s="362"/>
      <c r="B10" s="284">
        <v>4</v>
      </c>
      <c r="C10" s="285"/>
      <c r="D10" s="286">
        <v>45661</v>
      </c>
      <c r="E10" s="287">
        <v>45481</v>
      </c>
      <c r="F10" s="288" t="s">
        <v>82</v>
      </c>
      <c r="G10" s="293" t="s">
        <v>242</v>
      </c>
      <c r="H10" s="290">
        <v>500</v>
      </c>
      <c r="I10" s="291"/>
      <c r="J10" s="290">
        <f t="shared" si="0"/>
        <v>500</v>
      </c>
      <c r="K10" s="291"/>
      <c r="L10" s="291"/>
      <c r="M10" s="291"/>
    </row>
    <row r="11" spans="1:17" ht="27" customHeight="1" thickTop="1" thickBot="1">
      <c r="A11" s="362"/>
      <c r="B11" s="284">
        <v>5</v>
      </c>
      <c r="C11" s="285"/>
      <c r="D11" s="286">
        <v>45662</v>
      </c>
      <c r="E11" s="287">
        <v>45573</v>
      </c>
      <c r="F11" s="292" t="s">
        <v>70</v>
      </c>
      <c r="G11" s="293" t="s">
        <v>148</v>
      </c>
      <c r="H11" s="290">
        <v>500</v>
      </c>
      <c r="I11" s="291"/>
      <c r="J11" s="290">
        <f t="shared" si="0"/>
        <v>500</v>
      </c>
      <c r="K11" s="291"/>
      <c r="L11" s="291"/>
      <c r="M11" s="291"/>
    </row>
    <row r="12" spans="1:17" ht="27" customHeight="1" thickTop="1" thickBot="1">
      <c r="A12" s="362"/>
      <c r="B12" s="284">
        <v>6</v>
      </c>
      <c r="C12" s="285"/>
      <c r="D12" s="286">
        <v>45663</v>
      </c>
      <c r="E12" s="287">
        <v>45574</v>
      </c>
      <c r="F12" s="288" t="s">
        <v>82</v>
      </c>
      <c r="G12" s="293" t="s">
        <v>243</v>
      </c>
      <c r="H12" s="290">
        <v>500</v>
      </c>
      <c r="I12" s="291"/>
      <c r="J12" s="290">
        <f t="shared" si="0"/>
        <v>500</v>
      </c>
      <c r="K12" s="291"/>
      <c r="L12" s="291"/>
      <c r="M12" s="291"/>
    </row>
    <row r="13" spans="1:17" ht="27" customHeight="1" thickTop="1" thickBot="1">
      <c r="A13" s="362"/>
      <c r="B13" s="284">
        <v>7</v>
      </c>
      <c r="C13" s="285"/>
      <c r="D13" s="286">
        <v>45664</v>
      </c>
      <c r="E13" s="287">
        <v>45635</v>
      </c>
      <c r="F13" s="292" t="s">
        <v>70</v>
      </c>
      <c r="G13" s="293" t="s">
        <v>148</v>
      </c>
      <c r="H13" s="290">
        <v>500</v>
      </c>
      <c r="I13" s="291"/>
      <c r="J13" s="290">
        <f t="shared" si="0"/>
        <v>500</v>
      </c>
      <c r="K13" s="291"/>
      <c r="L13" s="291"/>
      <c r="M13" s="291"/>
    </row>
    <row r="14" spans="1:17" ht="27" customHeight="1" thickTop="1" thickBot="1">
      <c r="A14" s="362"/>
      <c r="B14" s="284">
        <v>8</v>
      </c>
      <c r="C14" s="285"/>
      <c r="D14" s="286">
        <v>45665</v>
      </c>
      <c r="E14" s="287">
        <v>45453</v>
      </c>
      <c r="F14" s="288" t="s">
        <v>82</v>
      </c>
      <c r="G14" s="293" t="s">
        <v>243</v>
      </c>
      <c r="H14" s="290">
        <v>500</v>
      </c>
      <c r="I14" s="291"/>
      <c r="J14" s="290">
        <f t="shared" si="0"/>
        <v>500</v>
      </c>
      <c r="K14" s="291"/>
      <c r="L14" s="291"/>
      <c r="M14" s="291"/>
    </row>
    <row r="15" spans="1:17" ht="27" customHeight="1" thickTop="1" thickBot="1">
      <c r="A15" s="362"/>
      <c r="B15" s="284">
        <v>9</v>
      </c>
      <c r="C15" s="285"/>
      <c r="D15" s="286">
        <v>45666</v>
      </c>
      <c r="E15" s="287">
        <v>45606</v>
      </c>
      <c r="F15" s="292" t="s">
        <v>70</v>
      </c>
      <c r="G15" s="293" t="s">
        <v>148</v>
      </c>
      <c r="H15" s="290">
        <v>500</v>
      </c>
      <c r="I15" s="291"/>
      <c r="J15" s="290">
        <f t="shared" si="0"/>
        <v>500</v>
      </c>
      <c r="K15" s="291"/>
      <c r="L15" s="291"/>
      <c r="M15" s="291"/>
    </row>
    <row r="16" spans="1:17" ht="27" customHeight="1" thickTop="1" thickBot="1">
      <c r="A16" s="362"/>
      <c r="B16" s="284">
        <v>10</v>
      </c>
      <c r="C16" s="285"/>
      <c r="D16" s="286">
        <v>45667</v>
      </c>
      <c r="E16" s="287">
        <v>45362</v>
      </c>
      <c r="F16" s="288" t="s">
        <v>82</v>
      </c>
      <c r="G16" s="293" t="s">
        <v>244</v>
      </c>
      <c r="H16" s="290">
        <v>500</v>
      </c>
      <c r="I16" s="291"/>
      <c r="J16" s="290">
        <f t="shared" si="0"/>
        <v>500</v>
      </c>
      <c r="K16" s="291"/>
      <c r="L16" s="291"/>
      <c r="M16" s="291"/>
      <c r="Q16" s="106"/>
    </row>
    <row r="17" spans="1:13" ht="27" customHeight="1" thickTop="1" thickBot="1">
      <c r="A17" s="362"/>
      <c r="B17" s="284">
        <v>11</v>
      </c>
      <c r="C17" s="285"/>
      <c r="D17" s="286">
        <v>45668</v>
      </c>
      <c r="E17" s="287">
        <v>45484</v>
      </c>
      <c r="F17" s="292" t="s">
        <v>70</v>
      </c>
      <c r="G17" s="293" t="s">
        <v>148</v>
      </c>
      <c r="H17" s="290">
        <v>500</v>
      </c>
      <c r="I17" s="291"/>
      <c r="J17" s="290">
        <f t="shared" si="0"/>
        <v>500</v>
      </c>
      <c r="K17" s="291"/>
      <c r="L17" s="291"/>
      <c r="M17" s="291"/>
    </row>
    <row r="18" spans="1:13" ht="27" customHeight="1" thickTop="1" thickBot="1">
      <c r="A18" s="362"/>
      <c r="B18" s="284">
        <v>12</v>
      </c>
      <c r="C18" s="285"/>
      <c r="D18" s="286">
        <v>45669</v>
      </c>
      <c r="E18" s="287">
        <v>45547</v>
      </c>
      <c r="F18" s="288" t="s">
        <v>82</v>
      </c>
      <c r="G18" s="293" t="s">
        <v>244</v>
      </c>
      <c r="H18" s="290">
        <v>500</v>
      </c>
      <c r="I18" s="291"/>
      <c r="J18" s="290">
        <f t="shared" si="0"/>
        <v>500</v>
      </c>
      <c r="K18" s="291"/>
      <c r="L18" s="291"/>
      <c r="M18" s="291"/>
    </row>
    <row r="19" spans="1:13" ht="27" customHeight="1" thickTop="1" thickBot="1">
      <c r="A19" s="362"/>
      <c r="B19" s="284">
        <v>13</v>
      </c>
      <c r="C19" s="285"/>
      <c r="D19" s="286">
        <v>45670</v>
      </c>
      <c r="E19" s="287">
        <v>45577</v>
      </c>
      <c r="F19" s="292" t="s">
        <v>70</v>
      </c>
      <c r="G19" s="293" t="s">
        <v>148</v>
      </c>
      <c r="H19" s="290">
        <v>500</v>
      </c>
      <c r="I19" s="291"/>
      <c r="J19" s="290">
        <f t="shared" si="0"/>
        <v>500</v>
      </c>
      <c r="K19" s="291"/>
      <c r="L19" s="291"/>
      <c r="M19" s="291"/>
    </row>
    <row r="20" spans="1:13" ht="27" customHeight="1" thickTop="1" thickBot="1">
      <c r="A20" s="362"/>
      <c r="B20" s="284">
        <v>14</v>
      </c>
      <c r="C20" s="285"/>
      <c r="D20" s="286">
        <v>45671</v>
      </c>
      <c r="E20" s="287">
        <v>45778</v>
      </c>
      <c r="F20" s="288" t="s">
        <v>82</v>
      </c>
      <c r="G20" s="293" t="s">
        <v>244</v>
      </c>
      <c r="H20" s="290">
        <v>500</v>
      </c>
      <c r="I20" s="291"/>
      <c r="J20" s="290">
        <f t="shared" si="0"/>
        <v>500</v>
      </c>
      <c r="K20" s="291"/>
      <c r="L20" s="291"/>
      <c r="M20" s="291"/>
    </row>
    <row r="21" spans="1:13" ht="27" customHeight="1" thickTop="1" thickBot="1">
      <c r="A21" s="362"/>
      <c r="B21" s="284">
        <v>15</v>
      </c>
      <c r="C21" s="285"/>
      <c r="D21" s="286">
        <v>45672</v>
      </c>
      <c r="E21" s="287">
        <v>45778</v>
      </c>
      <c r="F21" s="292" t="s">
        <v>70</v>
      </c>
      <c r="G21" s="293" t="s">
        <v>148</v>
      </c>
      <c r="H21" s="290">
        <v>500</v>
      </c>
      <c r="I21" s="290"/>
      <c r="J21" s="290">
        <f t="shared" si="0"/>
        <v>500</v>
      </c>
      <c r="K21" s="280"/>
      <c r="L21" s="280"/>
      <c r="M21" s="280"/>
    </row>
    <row r="22" spans="1:13" ht="27" customHeight="1" thickTop="1" thickBot="1">
      <c r="A22" s="362"/>
      <c r="B22" s="284">
        <v>16</v>
      </c>
      <c r="C22" s="285"/>
      <c r="D22" s="286">
        <v>45673</v>
      </c>
      <c r="E22" s="287" t="s">
        <v>255</v>
      </c>
      <c r="F22" s="292" t="s">
        <v>246</v>
      </c>
      <c r="G22" s="293" t="s">
        <v>245</v>
      </c>
      <c r="H22" s="290">
        <v>500</v>
      </c>
      <c r="I22" s="291"/>
      <c r="J22" s="290">
        <f t="shared" si="0"/>
        <v>500</v>
      </c>
      <c r="K22" s="280"/>
      <c r="L22" s="280"/>
      <c r="M22" s="280"/>
    </row>
    <row r="23" spans="1:13" ht="27" customHeight="1" thickTop="1" thickBot="1">
      <c r="A23" s="362"/>
      <c r="B23" s="284">
        <v>17</v>
      </c>
      <c r="C23" s="294"/>
      <c r="D23" s="286">
        <v>45674</v>
      </c>
      <c r="E23" s="287" t="s">
        <v>256</v>
      </c>
      <c r="F23" s="295" t="s">
        <v>85</v>
      </c>
      <c r="G23" s="293" t="s">
        <v>149</v>
      </c>
      <c r="H23" s="290">
        <v>500</v>
      </c>
      <c r="I23" s="291"/>
      <c r="J23" s="290">
        <f t="shared" si="0"/>
        <v>500</v>
      </c>
      <c r="K23" s="280"/>
      <c r="L23" s="280"/>
      <c r="M23" s="280"/>
    </row>
    <row r="24" spans="1:13" ht="19.5" customHeight="1" thickTop="1">
      <c r="A24" s="362"/>
    </row>
    <row r="25" spans="1:13" ht="42.6" customHeight="1" thickBot="1">
      <c r="A25" s="362"/>
      <c r="B25" s="362"/>
      <c r="C25" s="362"/>
      <c r="D25" s="362"/>
      <c r="E25" s="362"/>
      <c r="F25" s="362"/>
      <c r="G25" s="362"/>
      <c r="H25" s="362"/>
      <c r="I25" s="362"/>
      <c r="J25" s="362"/>
      <c r="K25" s="362"/>
      <c r="L25" s="362"/>
      <c r="M25" s="362"/>
    </row>
    <row r="26" spans="1:13" ht="30.75" customHeight="1" thickTop="1" thickBot="1">
      <c r="A26" s="362"/>
      <c r="B26" s="423" t="s">
        <v>237</v>
      </c>
      <c r="C26" s="423"/>
      <c r="D26" s="423"/>
      <c r="E26" s="423"/>
      <c r="F26" s="423"/>
      <c r="G26" s="423"/>
      <c r="H26" s="423"/>
      <c r="I26" s="423"/>
      <c r="J26" s="423"/>
      <c r="K26" s="423"/>
      <c r="L26" s="423"/>
      <c r="M26" s="423"/>
    </row>
    <row r="27" spans="1:13" ht="3" customHeight="1" thickTop="1" thickBot="1">
      <c r="A27" s="362"/>
      <c r="B27" s="280"/>
      <c r="C27" s="280"/>
      <c r="D27" s="280"/>
      <c r="E27" s="280"/>
      <c r="F27" s="280"/>
      <c r="G27" s="280"/>
      <c r="H27" s="280"/>
      <c r="I27" s="280"/>
      <c r="J27" s="280"/>
      <c r="K27" s="280"/>
      <c r="L27" s="280"/>
      <c r="M27" s="280"/>
    </row>
    <row r="28" spans="1:13" ht="15.75" hidden="1" customHeight="1">
      <c r="A28" s="362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</row>
    <row r="29" spans="1:13" ht="15.75" hidden="1" customHeight="1">
      <c r="A29" s="362"/>
      <c r="B29" s="280"/>
      <c r="C29" s="280"/>
      <c r="D29" s="280"/>
      <c r="E29" s="280"/>
      <c r="F29" s="280"/>
      <c r="G29" s="280"/>
      <c r="H29" s="280"/>
      <c r="I29" s="280"/>
      <c r="J29" s="280"/>
      <c r="K29" s="280"/>
      <c r="L29" s="280"/>
      <c r="M29" s="280"/>
    </row>
    <row r="30" spans="1:13" ht="57.75" thickTop="1" thickBot="1">
      <c r="A30" s="362"/>
      <c r="B30" s="281" t="s">
        <v>1</v>
      </c>
      <c r="C30" s="282" t="s">
        <v>46</v>
      </c>
      <c r="D30" s="282" t="s">
        <v>47</v>
      </c>
      <c r="E30" s="283" t="s">
        <v>53</v>
      </c>
      <c r="F30" s="283" t="s">
        <v>48</v>
      </c>
      <c r="G30" s="283" t="s">
        <v>49</v>
      </c>
      <c r="H30" s="283" t="s">
        <v>50</v>
      </c>
      <c r="I30" s="283" t="s">
        <v>44</v>
      </c>
      <c r="J30" s="282" t="s">
        <v>51</v>
      </c>
      <c r="K30" s="282" t="s">
        <v>52</v>
      </c>
      <c r="L30" s="283" t="s">
        <v>34</v>
      </c>
      <c r="M30" s="283" t="s">
        <v>45</v>
      </c>
    </row>
    <row r="31" spans="1:13" ht="27" customHeight="1" thickTop="1" thickBot="1">
      <c r="A31" s="362"/>
      <c r="B31" s="284">
        <v>18</v>
      </c>
      <c r="C31" s="285">
        <v>1</v>
      </c>
      <c r="D31" s="286">
        <v>45675</v>
      </c>
      <c r="E31" s="287">
        <v>45810</v>
      </c>
      <c r="F31" s="288" t="s">
        <v>82</v>
      </c>
      <c r="G31" s="293" t="s">
        <v>247</v>
      </c>
      <c r="H31" s="290">
        <v>500</v>
      </c>
      <c r="I31" s="291"/>
      <c r="J31" s="290">
        <f>H31</f>
        <v>500</v>
      </c>
      <c r="K31" s="291"/>
      <c r="L31" s="291"/>
      <c r="M31" s="291"/>
    </row>
    <row r="32" spans="1:13" ht="27" customHeight="1" thickTop="1" thickBot="1">
      <c r="A32" s="362"/>
      <c r="B32" s="284">
        <v>19</v>
      </c>
      <c r="C32" s="285"/>
      <c r="D32" s="286">
        <v>45676</v>
      </c>
      <c r="E32" s="287">
        <v>45932</v>
      </c>
      <c r="F32" s="292" t="s">
        <v>70</v>
      </c>
      <c r="G32" s="293" t="s">
        <v>148</v>
      </c>
      <c r="H32" s="290">
        <v>500</v>
      </c>
      <c r="I32" s="291"/>
      <c r="J32" s="290">
        <f t="shared" ref="J32:J47" si="1">H32</f>
        <v>500</v>
      </c>
      <c r="K32" s="291"/>
      <c r="L32" s="291"/>
      <c r="M32" s="291"/>
    </row>
    <row r="33" spans="1:17" ht="27" customHeight="1" thickTop="1" thickBot="1">
      <c r="A33" s="362"/>
      <c r="B33" s="284">
        <v>20</v>
      </c>
      <c r="C33" s="285"/>
      <c r="D33" s="286">
        <v>45677</v>
      </c>
      <c r="E33" s="287">
        <v>45994</v>
      </c>
      <c r="F33" s="288" t="s">
        <v>82</v>
      </c>
      <c r="G33" s="293" t="s">
        <v>247</v>
      </c>
      <c r="H33" s="290">
        <v>500</v>
      </c>
      <c r="I33" s="291"/>
      <c r="J33" s="290">
        <f t="shared" si="1"/>
        <v>500</v>
      </c>
      <c r="K33" s="291"/>
      <c r="L33" s="291"/>
      <c r="M33" s="291"/>
    </row>
    <row r="34" spans="1:17" ht="27" customHeight="1" thickTop="1" thickBot="1">
      <c r="A34" s="362"/>
      <c r="B34" s="284">
        <v>21</v>
      </c>
      <c r="C34" s="285"/>
      <c r="D34" s="286">
        <v>45678</v>
      </c>
      <c r="E34" s="287" t="s">
        <v>257</v>
      </c>
      <c r="F34" s="292" t="s">
        <v>70</v>
      </c>
      <c r="G34" s="293" t="s">
        <v>148</v>
      </c>
      <c r="H34" s="290">
        <v>500</v>
      </c>
      <c r="I34" s="291"/>
      <c r="J34" s="290">
        <f t="shared" si="1"/>
        <v>500</v>
      </c>
      <c r="K34" s="291"/>
      <c r="L34" s="291"/>
      <c r="M34" s="291"/>
    </row>
    <row r="35" spans="1:17" ht="27" customHeight="1" thickTop="1" thickBot="1">
      <c r="A35" s="362"/>
      <c r="B35" s="284">
        <v>22</v>
      </c>
      <c r="C35" s="285">
        <v>2</v>
      </c>
      <c r="D35" s="286">
        <v>45689</v>
      </c>
      <c r="E35" s="287">
        <v>45995</v>
      </c>
      <c r="F35" s="288" t="s">
        <v>82</v>
      </c>
      <c r="G35" s="289" t="s">
        <v>248</v>
      </c>
      <c r="H35" s="290">
        <v>500</v>
      </c>
      <c r="I35" s="291"/>
      <c r="J35" s="290">
        <f t="shared" si="1"/>
        <v>500</v>
      </c>
      <c r="K35" s="291"/>
      <c r="L35" s="291"/>
      <c r="M35" s="291"/>
    </row>
    <row r="36" spans="1:17" ht="27" customHeight="1" thickTop="1" thickBot="1">
      <c r="A36" s="362"/>
      <c r="B36" s="284">
        <v>23</v>
      </c>
      <c r="C36" s="285"/>
      <c r="D36" s="286">
        <v>45690</v>
      </c>
      <c r="E36" s="287" t="s">
        <v>258</v>
      </c>
      <c r="F36" s="292" t="s">
        <v>70</v>
      </c>
      <c r="G36" s="293" t="s">
        <v>148</v>
      </c>
      <c r="H36" s="290">
        <v>500</v>
      </c>
      <c r="I36" s="291"/>
      <c r="J36" s="290">
        <f t="shared" si="1"/>
        <v>500</v>
      </c>
      <c r="K36" s="291"/>
      <c r="L36" s="291"/>
      <c r="M36" s="291"/>
    </row>
    <row r="37" spans="1:17" ht="27" customHeight="1" thickTop="1" thickBot="1">
      <c r="A37" s="362"/>
      <c r="B37" s="284">
        <v>24</v>
      </c>
      <c r="C37" s="285"/>
      <c r="D37" s="286">
        <v>45691</v>
      </c>
      <c r="E37" s="287">
        <v>45721</v>
      </c>
      <c r="F37" s="288" t="s">
        <v>82</v>
      </c>
      <c r="G37" s="289" t="s">
        <v>248</v>
      </c>
      <c r="H37" s="290">
        <v>500</v>
      </c>
      <c r="I37" s="291"/>
      <c r="J37" s="290">
        <f t="shared" si="1"/>
        <v>500</v>
      </c>
      <c r="K37" s="291"/>
      <c r="L37" s="291"/>
      <c r="M37" s="291"/>
    </row>
    <row r="38" spans="1:17" ht="27" customHeight="1" thickTop="1" thickBot="1">
      <c r="A38" s="362"/>
      <c r="B38" s="284">
        <v>25</v>
      </c>
      <c r="C38" s="285"/>
      <c r="D38" s="286">
        <v>45692</v>
      </c>
      <c r="E38" s="287">
        <v>45721</v>
      </c>
      <c r="F38" s="292" t="s">
        <v>70</v>
      </c>
      <c r="G38" s="293" t="s">
        <v>148</v>
      </c>
      <c r="H38" s="290">
        <v>500</v>
      </c>
      <c r="I38" s="291"/>
      <c r="J38" s="290">
        <f t="shared" si="1"/>
        <v>500</v>
      </c>
      <c r="K38" s="291"/>
      <c r="L38" s="291"/>
      <c r="M38" s="291"/>
    </row>
    <row r="39" spans="1:17" ht="27" customHeight="1" thickTop="1" thickBot="1">
      <c r="A39" s="362"/>
      <c r="B39" s="284">
        <v>26</v>
      </c>
      <c r="C39" s="285"/>
      <c r="D39" s="286">
        <v>45693</v>
      </c>
      <c r="E39" s="287">
        <v>45997</v>
      </c>
      <c r="F39" s="288" t="s">
        <v>82</v>
      </c>
      <c r="G39" s="289" t="s">
        <v>248</v>
      </c>
      <c r="H39" s="290">
        <v>500</v>
      </c>
      <c r="I39" s="291"/>
      <c r="J39" s="290">
        <f t="shared" si="1"/>
        <v>500</v>
      </c>
      <c r="K39" s="291"/>
      <c r="L39" s="291"/>
      <c r="M39" s="291"/>
    </row>
    <row r="40" spans="1:17" ht="27" customHeight="1" thickTop="1" thickBot="1">
      <c r="A40" s="362"/>
      <c r="B40" s="284">
        <v>27</v>
      </c>
      <c r="C40" s="285"/>
      <c r="D40" s="286">
        <v>45694</v>
      </c>
      <c r="E40" s="287" t="s">
        <v>259</v>
      </c>
      <c r="F40" s="292" t="s">
        <v>70</v>
      </c>
      <c r="G40" s="293" t="s">
        <v>148</v>
      </c>
      <c r="H40" s="290">
        <v>500</v>
      </c>
      <c r="I40" s="291"/>
      <c r="J40" s="290">
        <f t="shared" si="1"/>
        <v>500</v>
      </c>
      <c r="K40" s="291"/>
      <c r="L40" s="291"/>
      <c r="M40" s="291"/>
      <c r="Q40" s="106"/>
    </row>
    <row r="41" spans="1:17" ht="27" customHeight="1" thickTop="1" thickBot="1">
      <c r="A41" s="362"/>
      <c r="B41" s="284">
        <v>28</v>
      </c>
      <c r="C41" s="285"/>
      <c r="D41" s="286">
        <v>45695</v>
      </c>
      <c r="E41" s="287" t="s">
        <v>260</v>
      </c>
      <c r="F41" s="292" t="s">
        <v>249</v>
      </c>
      <c r="G41" s="293" t="s">
        <v>250</v>
      </c>
      <c r="H41" s="290">
        <v>1500</v>
      </c>
      <c r="I41" s="291"/>
      <c r="J41" s="290">
        <f t="shared" si="1"/>
        <v>1500</v>
      </c>
      <c r="K41" s="291"/>
      <c r="L41" s="291"/>
      <c r="M41" s="291"/>
    </row>
    <row r="42" spans="1:17" ht="27" customHeight="1" thickTop="1" thickBot="1">
      <c r="A42" s="362"/>
      <c r="B42" s="284">
        <v>29</v>
      </c>
      <c r="C42" s="285"/>
      <c r="D42" s="286">
        <v>45696</v>
      </c>
      <c r="E42" s="287">
        <v>45664</v>
      </c>
      <c r="F42" s="292" t="s">
        <v>246</v>
      </c>
      <c r="G42" s="293" t="s">
        <v>245</v>
      </c>
      <c r="H42" s="290">
        <v>500</v>
      </c>
      <c r="I42" s="291"/>
      <c r="J42" s="290">
        <f t="shared" si="1"/>
        <v>500</v>
      </c>
      <c r="K42" s="291"/>
      <c r="L42" s="291"/>
      <c r="M42" s="291"/>
    </row>
    <row r="43" spans="1:17" ht="27" customHeight="1" thickTop="1" thickBot="1">
      <c r="A43" s="362"/>
      <c r="B43" s="284">
        <v>30</v>
      </c>
      <c r="C43" s="285">
        <v>3</v>
      </c>
      <c r="D43" s="286">
        <v>45717</v>
      </c>
      <c r="E43" s="287" t="s">
        <v>261</v>
      </c>
      <c r="F43" s="292" t="s">
        <v>251</v>
      </c>
      <c r="G43" s="293" t="s">
        <v>250</v>
      </c>
      <c r="H43" s="290">
        <v>1100</v>
      </c>
      <c r="I43" s="291"/>
      <c r="J43" s="290">
        <f t="shared" si="1"/>
        <v>1100</v>
      </c>
      <c r="K43" s="291"/>
      <c r="L43" s="291"/>
      <c r="M43" s="291"/>
    </row>
    <row r="44" spans="1:17" ht="27" customHeight="1" thickTop="1" thickBot="1">
      <c r="A44" s="362"/>
      <c r="B44" s="284">
        <v>31</v>
      </c>
      <c r="C44" s="285">
        <v>4</v>
      </c>
      <c r="D44" s="286">
        <v>45748</v>
      </c>
      <c r="E44" s="287" t="s">
        <v>262</v>
      </c>
      <c r="F44" s="295" t="s">
        <v>85</v>
      </c>
      <c r="G44" s="293" t="s">
        <v>155</v>
      </c>
      <c r="H44" s="290">
        <v>500</v>
      </c>
      <c r="I44" s="291"/>
      <c r="J44" s="290">
        <f t="shared" si="1"/>
        <v>500</v>
      </c>
      <c r="K44" s="291"/>
      <c r="L44" s="291"/>
      <c r="M44" s="291"/>
    </row>
    <row r="45" spans="1:17" ht="27" customHeight="1" thickTop="1" thickBot="1">
      <c r="A45" s="362"/>
      <c r="B45" s="284">
        <v>32</v>
      </c>
      <c r="C45" s="285"/>
      <c r="D45" s="286">
        <v>45749</v>
      </c>
      <c r="E45" s="287">
        <v>45940</v>
      </c>
      <c r="F45" s="292" t="s">
        <v>252</v>
      </c>
      <c r="G45" s="295" t="s">
        <v>250</v>
      </c>
      <c r="H45" s="290">
        <v>1200</v>
      </c>
      <c r="I45" s="290"/>
      <c r="J45" s="290">
        <f t="shared" si="1"/>
        <v>1200</v>
      </c>
      <c r="K45" s="280"/>
      <c r="L45" s="280"/>
      <c r="M45" s="280"/>
    </row>
    <row r="46" spans="1:17" ht="27" customHeight="1" thickTop="1" thickBot="1">
      <c r="A46" s="362"/>
      <c r="B46" s="284">
        <v>33</v>
      </c>
      <c r="C46" s="285">
        <v>5</v>
      </c>
      <c r="D46" s="286"/>
      <c r="E46" s="287" t="s">
        <v>272</v>
      </c>
      <c r="F46" s="292" t="s">
        <v>334</v>
      </c>
      <c r="G46" s="295" t="s">
        <v>333</v>
      </c>
      <c r="H46" s="290">
        <v>2498</v>
      </c>
      <c r="I46" s="291"/>
      <c r="J46" s="290">
        <f t="shared" si="1"/>
        <v>2498</v>
      </c>
      <c r="K46" s="280"/>
      <c r="L46" s="280"/>
      <c r="M46" s="280"/>
    </row>
    <row r="47" spans="1:17" ht="27" customHeight="1" thickTop="1" thickBot="1">
      <c r="A47" s="362"/>
      <c r="B47" s="284">
        <v>34</v>
      </c>
      <c r="C47" s="285">
        <v>6</v>
      </c>
      <c r="D47" s="286"/>
      <c r="E47" s="287" t="s">
        <v>272</v>
      </c>
      <c r="F47" s="288" t="s">
        <v>154</v>
      </c>
      <c r="G47" s="293" t="s">
        <v>336</v>
      </c>
      <c r="H47" s="290">
        <v>6000</v>
      </c>
      <c r="I47" s="291"/>
      <c r="J47" s="290">
        <f t="shared" si="1"/>
        <v>6000</v>
      </c>
      <c r="K47" s="280"/>
      <c r="L47" s="280"/>
      <c r="M47" s="280"/>
    </row>
    <row r="48" spans="1:17" ht="19.5" customHeight="1" thickTop="1">
      <c r="A48" s="362"/>
    </row>
    <row r="49" spans="1:17" ht="42.6" customHeight="1" thickBot="1">
      <c r="A49" s="362"/>
      <c r="B49" s="362"/>
      <c r="C49" s="362"/>
      <c r="D49" s="362"/>
      <c r="E49" s="362"/>
      <c r="F49" s="362"/>
      <c r="G49" s="362"/>
      <c r="H49" s="362"/>
      <c r="I49" s="362"/>
      <c r="J49" s="362"/>
      <c r="K49" s="362"/>
      <c r="L49" s="362"/>
      <c r="M49" s="362"/>
    </row>
    <row r="50" spans="1:17" ht="30.75" customHeight="1" thickTop="1" thickBot="1">
      <c r="A50" s="362"/>
      <c r="B50" s="423" t="s">
        <v>237</v>
      </c>
      <c r="C50" s="423"/>
      <c r="D50" s="423"/>
      <c r="E50" s="423"/>
      <c r="F50" s="423"/>
      <c r="G50" s="423"/>
      <c r="H50" s="423"/>
      <c r="I50" s="423"/>
      <c r="J50" s="423"/>
      <c r="K50" s="423"/>
      <c r="L50" s="423"/>
      <c r="M50" s="423"/>
    </row>
    <row r="51" spans="1:17" ht="3" customHeight="1" thickTop="1" thickBot="1">
      <c r="A51" s="362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</row>
    <row r="52" spans="1:17" ht="15.75" hidden="1" customHeight="1">
      <c r="A52" s="362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</row>
    <row r="53" spans="1:17" ht="15.75" hidden="1" customHeight="1">
      <c r="A53" s="362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</row>
    <row r="54" spans="1:17" ht="57.75" thickTop="1" thickBot="1">
      <c r="A54" s="362"/>
      <c r="B54" s="281" t="s">
        <v>1</v>
      </c>
      <c r="C54" s="282" t="s">
        <v>46</v>
      </c>
      <c r="D54" s="282" t="s">
        <v>47</v>
      </c>
      <c r="E54" s="283" t="s">
        <v>53</v>
      </c>
      <c r="F54" s="283" t="s">
        <v>48</v>
      </c>
      <c r="G54" s="283" t="s">
        <v>49</v>
      </c>
      <c r="H54" s="283" t="s">
        <v>50</v>
      </c>
      <c r="I54" s="283" t="s">
        <v>44</v>
      </c>
      <c r="J54" s="282" t="s">
        <v>51</v>
      </c>
      <c r="K54" s="282" t="s">
        <v>52</v>
      </c>
      <c r="L54" s="283" t="s">
        <v>34</v>
      </c>
      <c r="M54" s="283" t="s">
        <v>45</v>
      </c>
    </row>
    <row r="55" spans="1:17" ht="27" customHeight="1" thickTop="1" thickBot="1">
      <c r="A55" s="362"/>
      <c r="B55" s="284">
        <v>35</v>
      </c>
      <c r="C55" s="285">
        <v>7</v>
      </c>
      <c r="D55" s="286"/>
      <c r="E55" s="287">
        <v>46025</v>
      </c>
      <c r="F55" s="288" t="s">
        <v>152</v>
      </c>
      <c r="G55" s="293" t="s">
        <v>153</v>
      </c>
      <c r="H55" s="290">
        <v>11963</v>
      </c>
      <c r="I55" s="291"/>
      <c r="J55" s="290">
        <f>H55</f>
        <v>11963</v>
      </c>
      <c r="K55" s="291"/>
      <c r="L55" s="291"/>
      <c r="M55" s="291"/>
    </row>
    <row r="56" spans="1:17" ht="27" customHeight="1" thickTop="1" thickBot="1">
      <c r="A56" s="362"/>
      <c r="B56" s="284">
        <v>36</v>
      </c>
      <c r="C56" s="285">
        <v>8</v>
      </c>
      <c r="D56" s="286">
        <v>46235</v>
      </c>
      <c r="E56" s="287">
        <v>45815</v>
      </c>
      <c r="F56" s="288" t="s">
        <v>82</v>
      </c>
      <c r="G56" s="289" t="s">
        <v>248</v>
      </c>
      <c r="H56" s="290">
        <v>500</v>
      </c>
      <c r="I56" s="291"/>
      <c r="J56" s="290">
        <f t="shared" ref="J56:J62" si="2">H56</f>
        <v>500</v>
      </c>
      <c r="K56" s="291"/>
      <c r="L56" s="291"/>
      <c r="M56" s="291"/>
    </row>
    <row r="57" spans="1:17" ht="27" customHeight="1" thickTop="1" thickBot="1">
      <c r="A57" s="362"/>
      <c r="B57" s="284">
        <v>37</v>
      </c>
      <c r="C57" s="285"/>
      <c r="D57" s="286">
        <v>46236</v>
      </c>
      <c r="E57" s="287">
        <v>45937</v>
      </c>
      <c r="F57" s="292" t="s">
        <v>70</v>
      </c>
      <c r="G57" s="293" t="s">
        <v>148</v>
      </c>
      <c r="H57" s="290">
        <v>500</v>
      </c>
      <c r="I57" s="291"/>
      <c r="J57" s="290">
        <f t="shared" si="2"/>
        <v>500</v>
      </c>
      <c r="K57" s="291"/>
      <c r="L57" s="291"/>
      <c r="M57" s="291"/>
    </row>
    <row r="58" spans="1:17" ht="27" customHeight="1" thickTop="1" thickBot="1">
      <c r="A58" s="362"/>
      <c r="B58" s="284">
        <v>38</v>
      </c>
      <c r="C58" s="285"/>
      <c r="D58" s="286">
        <v>46237</v>
      </c>
      <c r="E58" s="287">
        <v>45938</v>
      </c>
      <c r="F58" s="288" t="s">
        <v>82</v>
      </c>
      <c r="G58" s="289" t="s">
        <v>248</v>
      </c>
      <c r="H58" s="290">
        <v>500</v>
      </c>
      <c r="I58" s="291"/>
      <c r="J58" s="290">
        <f t="shared" si="2"/>
        <v>500</v>
      </c>
      <c r="K58" s="291"/>
      <c r="L58" s="291"/>
      <c r="M58" s="291"/>
    </row>
    <row r="59" spans="1:17" ht="27" customHeight="1" thickTop="1" thickBot="1">
      <c r="A59" s="362"/>
      <c r="B59" s="284">
        <v>39</v>
      </c>
      <c r="C59" s="285">
        <v>2</v>
      </c>
      <c r="D59" s="286">
        <v>46238</v>
      </c>
      <c r="E59" s="287" t="s">
        <v>341</v>
      </c>
      <c r="F59" s="292" t="s">
        <v>70</v>
      </c>
      <c r="G59" s="293" t="s">
        <v>148</v>
      </c>
      <c r="H59" s="290">
        <v>500</v>
      </c>
      <c r="I59" s="291"/>
      <c r="J59" s="290">
        <f t="shared" si="2"/>
        <v>500</v>
      </c>
      <c r="K59" s="291"/>
      <c r="L59" s="291"/>
      <c r="M59" s="291"/>
    </row>
    <row r="60" spans="1:17" ht="27" customHeight="1" thickTop="1" thickBot="1">
      <c r="A60" s="362"/>
      <c r="B60" s="284">
        <v>40</v>
      </c>
      <c r="C60" s="285"/>
      <c r="D60" s="286">
        <v>46239</v>
      </c>
      <c r="E60" s="287">
        <v>45725</v>
      </c>
      <c r="F60" s="288" t="s">
        <v>82</v>
      </c>
      <c r="G60" s="289" t="s">
        <v>339</v>
      </c>
      <c r="H60" s="290">
        <v>500</v>
      </c>
      <c r="I60" s="291"/>
      <c r="J60" s="290">
        <f t="shared" si="2"/>
        <v>500</v>
      </c>
      <c r="K60" s="291"/>
      <c r="L60" s="291"/>
      <c r="M60" s="291"/>
    </row>
    <row r="61" spans="1:17" ht="27" customHeight="1" thickTop="1" thickBot="1">
      <c r="A61" s="362"/>
      <c r="B61" s="284">
        <v>41</v>
      </c>
      <c r="C61" s="285"/>
      <c r="D61" s="286">
        <v>46240</v>
      </c>
      <c r="E61" s="287">
        <v>45939</v>
      </c>
      <c r="F61" s="292" t="s">
        <v>70</v>
      </c>
      <c r="G61" s="293" t="s">
        <v>148</v>
      </c>
      <c r="H61" s="290">
        <v>500</v>
      </c>
      <c r="I61" s="291"/>
      <c r="J61" s="290">
        <f t="shared" si="2"/>
        <v>500</v>
      </c>
      <c r="K61" s="291"/>
      <c r="L61" s="291"/>
      <c r="M61" s="291"/>
    </row>
    <row r="62" spans="1:17" ht="27" customHeight="1" thickTop="1" thickBot="1">
      <c r="A62" s="362"/>
      <c r="B62" s="284">
        <v>42</v>
      </c>
      <c r="C62" s="285"/>
      <c r="D62" s="286">
        <v>46241</v>
      </c>
      <c r="E62" s="287" t="s">
        <v>340</v>
      </c>
      <c r="F62" s="295" t="s">
        <v>85</v>
      </c>
      <c r="G62" s="293" t="s">
        <v>155</v>
      </c>
      <c r="H62" s="290">
        <v>500</v>
      </c>
      <c r="I62" s="291"/>
      <c r="J62" s="290">
        <f t="shared" si="2"/>
        <v>500</v>
      </c>
      <c r="K62" s="291"/>
      <c r="L62" s="291"/>
      <c r="M62" s="291"/>
    </row>
    <row r="63" spans="1:17" ht="27" customHeight="1" thickTop="1" thickBot="1">
      <c r="A63" s="362"/>
      <c r="B63" s="284"/>
      <c r="C63" s="285"/>
      <c r="D63" s="286"/>
      <c r="E63" s="287"/>
      <c r="F63" s="288"/>
      <c r="G63" s="289"/>
      <c r="H63" s="290"/>
      <c r="I63" s="291"/>
      <c r="J63" s="290"/>
      <c r="K63" s="291"/>
      <c r="L63" s="291"/>
      <c r="M63" s="291"/>
    </row>
    <row r="64" spans="1:17" ht="27" customHeight="1" thickTop="1" thickBot="1">
      <c r="A64" s="362"/>
      <c r="B64" s="284"/>
      <c r="C64" s="285"/>
      <c r="D64" s="286"/>
      <c r="E64" s="287"/>
      <c r="F64" s="292"/>
      <c r="G64" s="293"/>
      <c r="H64" s="290"/>
      <c r="I64" s="291"/>
      <c r="J64" s="290"/>
      <c r="K64" s="291"/>
      <c r="L64" s="291"/>
      <c r="M64" s="291"/>
      <c r="Q64" s="106"/>
    </row>
    <row r="65" spans="1:13" ht="27" customHeight="1" thickTop="1" thickBot="1">
      <c r="A65" s="362"/>
      <c r="B65" s="284"/>
      <c r="C65" s="285"/>
      <c r="D65" s="286"/>
      <c r="E65" s="287"/>
      <c r="F65" s="292"/>
      <c r="G65" s="293"/>
      <c r="H65" s="290"/>
      <c r="I65" s="291"/>
      <c r="J65" s="290"/>
      <c r="K65" s="291"/>
      <c r="L65" s="291"/>
      <c r="M65" s="291"/>
    </row>
    <row r="66" spans="1:13" ht="27" customHeight="1" thickTop="1" thickBot="1">
      <c r="A66" s="362"/>
      <c r="B66" s="284"/>
      <c r="C66" s="285"/>
      <c r="D66" s="286"/>
      <c r="E66" s="287"/>
      <c r="F66" s="292"/>
      <c r="G66" s="293"/>
      <c r="H66" s="290"/>
      <c r="I66" s="291"/>
      <c r="J66" s="290"/>
      <c r="K66" s="291"/>
      <c r="L66" s="291"/>
      <c r="M66" s="291"/>
    </row>
    <row r="67" spans="1:13" ht="27" customHeight="1" thickTop="1" thickBot="1">
      <c r="A67" s="362"/>
      <c r="B67" s="284"/>
      <c r="C67" s="285"/>
      <c r="D67" s="286"/>
      <c r="E67" s="287"/>
      <c r="F67" s="292"/>
      <c r="G67" s="293"/>
      <c r="H67" s="290"/>
      <c r="I67" s="291"/>
      <c r="J67" s="290"/>
      <c r="K67" s="291"/>
      <c r="L67" s="291"/>
      <c r="M67" s="291"/>
    </row>
    <row r="68" spans="1:13" ht="27" customHeight="1" thickTop="1" thickBot="1">
      <c r="A68" s="362"/>
      <c r="B68" s="284"/>
      <c r="C68" s="285"/>
      <c r="D68" s="286"/>
      <c r="E68" s="287"/>
      <c r="F68" s="295"/>
      <c r="G68" s="293"/>
      <c r="H68" s="290"/>
      <c r="I68" s="291"/>
      <c r="J68" s="290"/>
      <c r="K68" s="291"/>
      <c r="L68" s="291"/>
      <c r="M68" s="291"/>
    </row>
    <row r="69" spans="1:13" ht="27" customHeight="1" thickTop="1" thickBot="1">
      <c r="A69" s="362"/>
      <c r="B69" s="284"/>
      <c r="C69" s="285"/>
      <c r="D69" s="286"/>
      <c r="E69" s="287"/>
      <c r="F69" s="292"/>
      <c r="G69" s="295"/>
      <c r="H69" s="290"/>
      <c r="I69" s="290"/>
      <c r="J69" s="290"/>
      <c r="K69" s="280"/>
      <c r="L69" s="280"/>
      <c r="M69" s="280"/>
    </row>
    <row r="70" spans="1:13" ht="27" customHeight="1" thickTop="1" thickBot="1">
      <c r="A70" s="362"/>
      <c r="B70" s="284"/>
      <c r="C70" s="285"/>
      <c r="D70" s="286"/>
      <c r="E70" s="287"/>
      <c r="F70" s="288"/>
      <c r="G70" s="293"/>
      <c r="H70" s="290"/>
      <c r="I70" s="291"/>
      <c r="J70" s="290"/>
      <c r="K70" s="280"/>
      <c r="L70" s="280"/>
      <c r="M70" s="280"/>
    </row>
    <row r="71" spans="1:13" ht="27" customHeight="1" thickTop="1" thickBot="1">
      <c r="A71" s="362"/>
      <c r="B71" s="284"/>
      <c r="C71" s="294"/>
      <c r="D71" s="286"/>
      <c r="E71" s="287"/>
      <c r="F71" s="288"/>
      <c r="G71" s="293"/>
      <c r="H71" s="290"/>
      <c r="I71" s="291"/>
      <c r="J71" s="290"/>
      <c r="K71" s="280"/>
      <c r="L71" s="280"/>
      <c r="M71" s="280"/>
    </row>
    <row r="72" spans="1:13" ht="19.5" customHeight="1" thickTop="1">
      <c r="A72" s="362"/>
    </row>
  </sheetData>
  <mergeCells count="9">
    <mergeCell ref="A49:A72"/>
    <mergeCell ref="B49:M49"/>
    <mergeCell ref="B50:M50"/>
    <mergeCell ref="B2:M2"/>
    <mergeCell ref="B1:M1"/>
    <mergeCell ref="A1:A24"/>
    <mergeCell ref="A25:A48"/>
    <mergeCell ref="B25:M25"/>
    <mergeCell ref="B26:M26"/>
  </mergeCells>
  <pageMargins left="0" right="0" top="0" bottom="0" header="0" footer="0"/>
  <pageSetup paperSize="5" scale="95" fitToWidth="0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36"/>
  <sheetViews>
    <sheetView workbookViewId="0">
      <selection sqref="A1:XFD1048576"/>
    </sheetView>
  </sheetViews>
  <sheetFormatPr defaultRowHeight="15"/>
  <cols>
    <col min="1" max="1" width="1.140625" customWidth="1"/>
    <col min="2" max="2" width="5.42578125" customWidth="1"/>
    <col min="3" max="3" width="14.7109375" customWidth="1"/>
    <col min="4" max="4" width="12.140625" customWidth="1"/>
    <col min="5" max="5" width="26.7109375" customWidth="1"/>
    <col min="6" max="6" width="31.5703125" customWidth="1"/>
    <col min="7" max="7" width="33.42578125" customWidth="1"/>
    <col min="8" max="8" width="13" bestFit="1" customWidth="1"/>
  </cols>
  <sheetData>
    <row r="1" spans="1:8" ht="15.75" thickBot="1"/>
    <row r="2" spans="1:8" ht="27.75" thickTop="1" thickBot="1">
      <c r="B2" s="428" t="s">
        <v>292</v>
      </c>
      <c r="C2" s="428"/>
      <c r="D2" s="428"/>
      <c r="E2" s="428"/>
      <c r="F2" s="428"/>
      <c r="G2" s="428"/>
      <c r="H2" s="428"/>
    </row>
    <row r="3" spans="1:8" ht="27" thickTop="1" thickBot="1">
      <c r="B3" s="424" t="s">
        <v>293</v>
      </c>
      <c r="C3" s="424"/>
      <c r="D3" s="424"/>
      <c r="E3" s="424"/>
      <c r="F3" s="424" t="s">
        <v>301</v>
      </c>
      <c r="G3" s="424"/>
      <c r="H3" s="424"/>
    </row>
    <row r="4" spans="1:8" ht="27" thickTop="1" thickBot="1">
      <c r="B4" s="424" t="s">
        <v>294</v>
      </c>
      <c r="C4" s="424"/>
      <c r="D4" s="424"/>
      <c r="E4" s="424"/>
      <c r="F4" s="424" t="s">
        <v>302</v>
      </c>
      <c r="G4" s="424"/>
      <c r="H4" s="424"/>
    </row>
    <row r="5" spans="1:8" ht="27" thickTop="1" thickBot="1">
      <c r="B5" s="424" t="s">
        <v>295</v>
      </c>
      <c r="C5" s="424"/>
      <c r="D5" s="424"/>
      <c r="E5" s="424"/>
      <c r="F5" s="424" t="s">
        <v>303</v>
      </c>
      <c r="G5" s="424"/>
      <c r="H5" s="424"/>
    </row>
    <row r="6" spans="1:8" ht="27" thickTop="1" thickBot="1">
      <c r="B6" s="424" t="s">
        <v>296</v>
      </c>
      <c r="C6" s="424"/>
      <c r="D6" s="424"/>
      <c r="E6" s="424"/>
      <c r="F6" s="424" t="s">
        <v>304</v>
      </c>
      <c r="G6" s="424"/>
      <c r="H6" s="424"/>
    </row>
    <row r="7" spans="1:8" ht="27" thickTop="1" thickBot="1">
      <c r="B7" s="424" t="s">
        <v>297</v>
      </c>
      <c r="C7" s="424"/>
      <c r="D7" s="424"/>
      <c r="E7" s="424"/>
      <c r="F7" s="425">
        <v>11590100004295</v>
      </c>
      <c r="G7" s="425"/>
      <c r="H7" s="425"/>
    </row>
    <row r="8" spans="1:8" ht="27" thickTop="1" thickBot="1">
      <c r="B8" s="424" t="s">
        <v>298</v>
      </c>
      <c r="C8" s="424"/>
      <c r="D8" s="424"/>
      <c r="E8" s="424"/>
      <c r="F8" s="426">
        <v>24160201802</v>
      </c>
      <c r="G8" s="426"/>
      <c r="H8" s="426"/>
    </row>
    <row r="9" spans="1:8" ht="27" thickTop="1" thickBot="1">
      <c r="B9" s="424" t="s">
        <v>299</v>
      </c>
      <c r="C9" s="424"/>
      <c r="D9" s="424"/>
      <c r="E9" s="424"/>
      <c r="F9" s="424" t="s">
        <v>305</v>
      </c>
      <c r="G9" s="424"/>
      <c r="H9" s="424"/>
    </row>
    <row r="10" spans="1:8" ht="27" thickTop="1" thickBot="1">
      <c r="B10" s="424" t="s">
        <v>300</v>
      </c>
      <c r="C10" s="424"/>
      <c r="D10" s="424"/>
      <c r="E10" s="424"/>
      <c r="F10" s="426">
        <v>9824624466</v>
      </c>
      <c r="G10" s="426"/>
      <c r="H10" s="426"/>
    </row>
    <row r="11" spans="1:8" ht="3" customHeight="1" thickTop="1" thickBot="1">
      <c r="A11" s="362"/>
      <c r="B11" s="280"/>
      <c r="C11" s="280"/>
      <c r="D11" s="280"/>
      <c r="E11" s="280"/>
      <c r="F11" s="280"/>
      <c r="G11" s="280"/>
      <c r="H11" s="280"/>
    </row>
    <row r="12" spans="1:8" ht="15.75" hidden="1" customHeight="1" thickTop="1" thickBot="1">
      <c r="A12" s="362"/>
      <c r="B12" s="280"/>
      <c r="C12" s="280"/>
      <c r="D12" s="280"/>
      <c r="E12" s="280"/>
      <c r="F12" s="280"/>
      <c r="G12" s="280"/>
      <c r="H12" s="280"/>
    </row>
    <row r="13" spans="1:8" ht="15.75" hidden="1" customHeight="1" thickTop="1" thickBot="1">
      <c r="A13" s="362"/>
      <c r="B13" s="280"/>
      <c r="C13" s="280"/>
      <c r="D13" s="280"/>
      <c r="E13" s="280"/>
      <c r="F13" s="280"/>
      <c r="G13" s="280"/>
      <c r="H13" s="280"/>
    </row>
    <row r="14" spans="1:8" ht="57.75" thickTop="1" thickBot="1">
      <c r="A14" s="362"/>
      <c r="B14" s="281" t="s">
        <v>1</v>
      </c>
      <c r="C14" s="282" t="s">
        <v>286</v>
      </c>
      <c r="D14" s="282" t="s">
        <v>287</v>
      </c>
      <c r="E14" s="282" t="s">
        <v>288</v>
      </c>
      <c r="F14" s="283" t="s">
        <v>289</v>
      </c>
      <c r="G14" s="283" t="s">
        <v>290</v>
      </c>
      <c r="H14" s="283" t="s">
        <v>50</v>
      </c>
    </row>
    <row r="15" spans="1:8" ht="27" customHeight="1" thickTop="1" thickBot="1">
      <c r="A15" s="362"/>
      <c r="B15" s="284">
        <v>1</v>
      </c>
      <c r="C15" s="287">
        <v>45906</v>
      </c>
      <c r="D15" s="285">
        <v>103</v>
      </c>
      <c r="E15" s="294" t="s">
        <v>291</v>
      </c>
      <c r="F15" s="294" t="s">
        <v>291</v>
      </c>
      <c r="G15" s="289" t="s">
        <v>74</v>
      </c>
      <c r="H15" s="290">
        <v>9000</v>
      </c>
    </row>
    <row r="16" spans="1:8" ht="27" customHeight="1" thickTop="1" thickBot="1">
      <c r="A16" s="362"/>
      <c r="B16" s="284">
        <v>2</v>
      </c>
      <c r="C16" s="287">
        <v>45907</v>
      </c>
      <c r="D16" s="285">
        <v>103</v>
      </c>
      <c r="E16" s="294" t="s">
        <v>291</v>
      </c>
      <c r="F16" s="294" t="s">
        <v>291</v>
      </c>
      <c r="G16" s="293" t="s">
        <v>75</v>
      </c>
      <c r="H16" s="290">
        <v>500</v>
      </c>
    </row>
    <row r="17" spans="1:12" ht="27" customHeight="1" thickTop="1" thickBot="1">
      <c r="A17" s="362"/>
      <c r="B17" s="284">
        <v>3</v>
      </c>
      <c r="C17" s="287">
        <v>45908</v>
      </c>
      <c r="D17" s="285">
        <v>103</v>
      </c>
      <c r="E17" s="294" t="s">
        <v>291</v>
      </c>
      <c r="F17" s="294" t="s">
        <v>291</v>
      </c>
      <c r="G17" s="293" t="s">
        <v>80</v>
      </c>
      <c r="H17" s="290">
        <v>500</v>
      </c>
    </row>
    <row r="18" spans="1:12" ht="27" customHeight="1" thickTop="1" thickBot="1">
      <c r="A18" s="362"/>
      <c r="B18" s="284">
        <v>4</v>
      </c>
      <c r="C18" s="287">
        <v>45909</v>
      </c>
      <c r="D18" s="285">
        <v>103</v>
      </c>
      <c r="E18" s="294" t="s">
        <v>291</v>
      </c>
      <c r="F18" s="294" t="s">
        <v>291</v>
      </c>
      <c r="G18" s="293" t="s">
        <v>246</v>
      </c>
      <c r="H18" s="290">
        <v>500</v>
      </c>
    </row>
    <row r="19" spans="1:12" ht="27" customHeight="1" thickTop="1" thickBot="1">
      <c r="A19" s="362"/>
      <c r="B19" s="284">
        <v>5</v>
      </c>
      <c r="C19" s="287">
        <v>45695</v>
      </c>
      <c r="D19" s="285">
        <v>104</v>
      </c>
      <c r="E19" s="294" t="s">
        <v>291</v>
      </c>
      <c r="F19" s="294" t="s">
        <v>291</v>
      </c>
      <c r="G19" s="289" t="s">
        <v>74</v>
      </c>
      <c r="H19" s="290">
        <v>3000</v>
      </c>
    </row>
    <row r="20" spans="1:12" ht="27" customHeight="1" thickTop="1" thickBot="1">
      <c r="A20" s="362"/>
      <c r="B20" s="284">
        <v>6</v>
      </c>
      <c r="C20" s="287">
        <v>45696</v>
      </c>
      <c r="D20" s="285">
        <v>104</v>
      </c>
      <c r="E20" s="294" t="s">
        <v>291</v>
      </c>
      <c r="F20" s="294" t="s">
        <v>291</v>
      </c>
      <c r="G20" s="293" t="s">
        <v>80</v>
      </c>
      <c r="H20" s="290">
        <v>1500</v>
      </c>
    </row>
    <row r="21" spans="1:12" ht="27" customHeight="1" thickTop="1" thickBot="1">
      <c r="A21" s="362"/>
      <c r="B21" s="284">
        <v>7</v>
      </c>
      <c r="C21" s="287">
        <v>45697</v>
      </c>
      <c r="D21" s="285">
        <v>104</v>
      </c>
      <c r="E21" s="294" t="s">
        <v>291</v>
      </c>
      <c r="F21" s="294" t="s">
        <v>291</v>
      </c>
      <c r="G21" s="293" t="s">
        <v>246</v>
      </c>
      <c r="H21" s="290">
        <v>500</v>
      </c>
    </row>
    <row r="22" spans="1:12" ht="27" customHeight="1" thickTop="1" thickBot="1">
      <c r="A22" s="362"/>
      <c r="B22" s="284">
        <v>8</v>
      </c>
      <c r="C22" s="287" t="s">
        <v>205</v>
      </c>
      <c r="D22" s="285">
        <v>105</v>
      </c>
      <c r="E22" s="294" t="s">
        <v>291</v>
      </c>
      <c r="F22" s="294" t="s">
        <v>291</v>
      </c>
      <c r="G22" s="293" t="s">
        <v>72</v>
      </c>
      <c r="H22" s="290">
        <v>1100</v>
      </c>
    </row>
    <row r="23" spans="1:12" ht="27" customHeight="1" thickTop="1" thickBot="1">
      <c r="A23" s="362"/>
      <c r="B23" s="284">
        <v>9</v>
      </c>
      <c r="C23" s="287" t="s">
        <v>207</v>
      </c>
      <c r="D23" s="285">
        <v>106</v>
      </c>
      <c r="E23" s="294" t="s">
        <v>291</v>
      </c>
      <c r="F23" s="294" t="s">
        <v>291</v>
      </c>
      <c r="G23" s="293" t="s">
        <v>77</v>
      </c>
      <c r="H23" s="290">
        <v>1200</v>
      </c>
    </row>
    <row r="24" spans="1:12" ht="27" customHeight="1" thickTop="1" thickBot="1">
      <c r="A24" s="362"/>
      <c r="B24" s="284">
        <v>10</v>
      </c>
      <c r="C24" s="287" t="s">
        <v>306</v>
      </c>
      <c r="D24" s="285">
        <v>106</v>
      </c>
      <c r="E24" s="294" t="s">
        <v>291</v>
      </c>
      <c r="F24" s="294" t="s">
        <v>291</v>
      </c>
      <c r="G24" s="293" t="s">
        <v>75</v>
      </c>
      <c r="H24" s="290">
        <v>500</v>
      </c>
      <c r="L24" s="106"/>
    </row>
    <row r="25" spans="1:12" ht="27" customHeight="1" thickTop="1">
      <c r="A25" s="362"/>
      <c r="B25" s="305"/>
      <c r="C25" s="304"/>
      <c r="D25" s="305"/>
      <c r="E25" s="306"/>
      <c r="F25" s="306"/>
      <c r="G25" s="307"/>
      <c r="H25" s="308"/>
      <c r="L25" s="309"/>
    </row>
    <row r="26" spans="1:12" ht="27" customHeight="1">
      <c r="A26" s="362"/>
      <c r="B26" s="90"/>
      <c r="C26" s="116"/>
      <c r="D26" s="90"/>
      <c r="E26" s="113"/>
      <c r="F26" s="113"/>
      <c r="G26" s="310"/>
      <c r="H26" s="114"/>
    </row>
    <row r="27" spans="1:12" ht="2.25" customHeight="1" thickBot="1">
      <c r="A27" s="362"/>
      <c r="B27" s="427"/>
      <c r="C27" s="427"/>
      <c r="D27" s="427"/>
      <c r="E27" s="427"/>
      <c r="F27" s="427"/>
      <c r="G27" s="427"/>
      <c r="H27" s="427"/>
    </row>
    <row r="28" spans="1:12" ht="69.75" customHeight="1" thickTop="1" thickBot="1">
      <c r="A28" s="362"/>
      <c r="B28" s="281" t="s">
        <v>1</v>
      </c>
      <c r="C28" s="282" t="s">
        <v>286</v>
      </c>
      <c r="D28" s="282" t="s">
        <v>287</v>
      </c>
      <c r="E28" s="282" t="s">
        <v>288</v>
      </c>
      <c r="F28" s="283" t="s">
        <v>289</v>
      </c>
      <c r="G28" s="283" t="s">
        <v>290</v>
      </c>
      <c r="H28" s="283" t="s">
        <v>50</v>
      </c>
    </row>
    <row r="29" spans="1:12" ht="27" customHeight="1" thickTop="1" thickBot="1">
      <c r="A29" s="362"/>
      <c r="B29" s="284">
        <v>11</v>
      </c>
      <c r="C29" s="287" t="s">
        <v>272</v>
      </c>
      <c r="D29" s="285">
        <v>107</v>
      </c>
      <c r="E29" s="294" t="s">
        <v>307</v>
      </c>
      <c r="F29" s="294" t="s">
        <v>307</v>
      </c>
      <c r="G29" s="293" t="s">
        <v>308</v>
      </c>
      <c r="H29" s="290">
        <v>2399</v>
      </c>
    </row>
    <row r="30" spans="1:12" ht="27" customHeight="1" thickTop="1" thickBot="1">
      <c r="A30" s="362"/>
      <c r="B30" s="284">
        <v>12</v>
      </c>
      <c r="C30" s="287" t="s">
        <v>309</v>
      </c>
      <c r="D30" s="285">
        <v>107</v>
      </c>
      <c r="E30" s="294" t="s">
        <v>307</v>
      </c>
      <c r="F30" s="294" t="s">
        <v>307</v>
      </c>
      <c r="G30" s="293" t="s">
        <v>81</v>
      </c>
      <c r="H30" s="290">
        <v>98</v>
      </c>
    </row>
    <row r="31" spans="1:12" ht="27" customHeight="1" thickTop="1" thickBot="1">
      <c r="A31" s="362"/>
      <c r="B31" s="284">
        <v>13</v>
      </c>
      <c r="C31" s="287" t="s">
        <v>310</v>
      </c>
      <c r="D31" s="285">
        <v>107</v>
      </c>
      <c r="E31" s="294" t="s">
        <v>307</v>
      </c>
      <c r="F31" s="294" t="s">
        <v>307</v>
      </c>
      <c r="G31" s="293" t="s">
        <v>76</v>
      </c>
      <c r="H31" s="290">
        <v>1</v>
      </c>
    </row>
    <row r="32" spans="1:12" ht="27" customHeight="1" thickTop="1" thickBot="1">
      <c r="A32" s="362"/>
      <c r="B32" s="284">
        <v>14</v>
      </c>
      <c r="C32" s="287">
        <v>46084</v>
      </c>
      <c r="D32" s="285">
        <v>108</v>
      </c>
      <c r="E32" s="294" t="s">
        <v>311</v>
      </c>
      <c r="F32" s="294" t="s">
        <v>311</v>
      </c>
      <c r="G32" s="293" t="s">
        <v>81</v>
      </c>
      <c r="H32" s="290">
        <v>6000</v>
      </c>
    </row>
    <row r="33" spans="1:8" ht="27" customHeight="1" thickTop="1" thickBot="1">
      <c r="A33" s="362"/>
      <c r="B33" s="284">
        <v>15</v>
      </c>
      <c r="C33" s="287">
        <v>46084</v>
      </c>
      <c r="D33" s="285">
        <v>109</v>
      </c>
      <c r="E33" s="294" t="s">
        <v>153</v>
      </c>
      <c r="F33" s="294" t="s">
        <v>153</v>
      </c>
      <c r="G33" s="293" t="s">
        <v>81</v>
      </c>
      <c r="H33" s="290">
        <v>11963</v>
      </c>
    </row>
    <row r="34" spans="1:8" ht="27" customHeight="1" thickTop="1" thickBot="1">
      <c r="A34" s="362"/>
      <c r="B34" s="284">
        <v>16</v>
      </c>
      <c r="C34" s="287" t="s">
        <v>312</v>
      </c>
      <c r="D34" s="285">
        <v>110</v>
      </c>
      <c r="E34" s="294" t="s">
        <v>291</v>
      </c>
      <c r="F34" s="294" t="s">
        <v>291</v>
      </c>
      <c r="G34" s="289" t="s">
        <v>74</v>
      </c>
      <c r="H34" s="290">
        <v>3000</v>
      </c>
    </row>
    <row r="35" spans="1:8" ht="19.5" customHeight="1" thickTop="1" thickBot="1">
      <c r="A35" s="362"/>
      <c r="B35" s="284">
        <v>17</v>
      </c>
      <c r="C35" s="287" t="s">
        <v>312</v>
      </c>
      <c r="D35" s="285">
        <v>110</v>
      </c>
      <c r="E35" s="294" t="s">
        <v>291</v>
      </c>
      <c r="F35" s="294" t="s">
        <v>291</v>
      </c>
      <c r="G35" s="293" t="s">
        <v>75</v>
      </c>
      <c r="H35" s="290">
        <v>500</v>
      </c>
    </row>
    <row r="36" spans="1:8" ht="15.75" thickTop="1"/>
  </sheetData>
  <mergeCells count="19">
    <mergeCell ref="B2:H2"/>
    <mergeCell ref="B7:E7"/>
    <mergeCell ref="B8:E8"/>
    <mergeCell ref="B10:E10"/>
    <mergeCell ref="B3:E3"/>
    <mergeCell ref="B4:E4"/>
    <mergeCell ref="B5:E5"/>
    <mergeCell ref="B6:E6"/>
    <mergeCell ref="B9:E9"/>
    <mergeCell ref="F3:H3"/>
    <mergeCell ref="F4:H4"/>
    <mergeCell ref="F5:H5"/>
    <mergeCell ref="F6:H6"/>
    <mergeCell ref="F7:H7"/>
    <mergeCell ref="F8:H8"/>
    <mergeCell ref="A11:A35"/>
    <mergeCell ref="F9:H9"/>
    <mergeCell ref="F10:H10"/>
    <mergeCell ref="B27:H27"/>
  </mergeCells>
  <phoneticPr fontId="130" type="noConversion"/>
  <printOptions horizontalCentered="1" verticalCentered="1"/>
  <pageMargins left="0" right="0" top="0" bottom="0" header="0" footer="0"/>
  <pageSetup paperSize="9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J24"/>
  <sheetViews>
    <sheetView topLeftCell="A28" workbookViewId="0">
      <selection sqref="A1:H31"/>
    </sheetView>
  </sheetViews>
  <sheetFormatPr defaultRowHeight="15"/>
  <cols>
    <col min="1" max="1" width="0.7109375" style="6" customWidth="1"/>
    <col min="2" max="2" width="4.7109375" style="6" customWidth="1"/>
    <col min="3" max="3" width="8" style="6" customWidth="1"/>
    <col min="4" max="4" width="14.85546875" style="6" customWidth="1"/>
    <col min="5" max="6" width="27.140625" style="6" customWidth="1"/>
    <col min="7" max="7" width="12.5703125" style="6" customWidth="1"/>
    <col min="8" max="8" width="7.5703125" style="6" customWidth="1"/>
    <col min="9" max="9" width="4.42578125" style="6" hidden="1" customWidth="1"/>
    <col min="10" max="10" width="1.140625" style="6" customWidth="1"/>
    <col min="11" max="16384" width="9.140625" style="6"/>
  </cols>
  <sheetData>
    <row r="1" spans="1:10" ht="15.75" thickBot="1">
      <c r="A1" s="356"/>
      <c r="B1" s="356"/>
      <c r="C1" s="356"/>
      <c r="D1" s="356"/>
      <c r="E1" s="356"/>
      <c r="F1" s="356"/>
      <c r="G1" s="356"/>
      <c r="H1" s="356"/>
    </row>
    <row r="2" spans="1:10" ht="29.25" thickBot="1">
      <c r="B2" s="416" t="s">
        <v>103</v>
      </c>
      <c r="C2" s="417"/>
      <c r="D2" s="417"/>
      <c r="E2" s="417"/>
      <c r="F2" s="417"/>
      <c r="G2" s="417"/>
      <c r="H2" s="418"/>
      <c r="I2" s="7"/>
      <c r="J2" s="7"/>
    </row>
    <row r="3" spans="1:10" ht="21">
      <c r="B3" s="8"/>
      <c r="C3" s="8"/>
      <c r="D3" s="8"/>
      <c r="E3" s="8"/>
      <c r="F3" s="8"/>
      <c r="G3" s="8"/>
      <c r="H3" s="8"/>
    </row>
    <row r="4" spans="1:10" ht="21">
      <c r="B4" s="419"/>
      <c r="C4" s="419"/>
      <c r="D4" s="419"/>
      <c r="E4" s="419"/>
      <c r="F4" s="419"/>
      <c r="G4" s="419"/>
      <c r="H4" s="419"/>
    </row>
    <row r="5" spans="1:10" ht="21">
      <c r="B5" s="120"/>
      <c r="C5" s="120"/>
      <c r="D5" s="120"/>
      <c r="E5" s="120"/>
      <c r="F5" s="120"/>
      <c r="G5" s="120"/>
      <c r="H5" s="120"/>
    </row>
    <row r="6" spans="1:10" ht="27">
      <c r="B6" s="120"/>
      <c r="C6" s="120"/>
      <c r="D6" s="120"/>
      <c r="E6" s="120"/>
      <c r="F6" s="120"/>
      <c r="G6" s="420"/>
      <c r="H6" s="420"/>
    </row>
    <row r="8" spans="1:10" ht="15.75" thickBot="1">
      <c r="B8" s="412"/>
      <c r="C8" s="412"/>
      <c r="D8" s="412"/>
      <c r="E8" s="412"/>
      <c r="F8" s="412"/>
      <c r="G8" s="412"/>
      <c r="H8" s="412"/>
    </row>
    <row r="9" spans="1:10" ht="27.75" thickBot="1">
      <c r="B9" s="404" t="s">
        <v>89</v>
      </c>
      <c r="C9" s="405"/>
      <c r="D9" s="405"/>
      <c r="E9" s="121" t="s">
        <v>150</v>
      </c>
      <c r="F9" s="122" t="s">
        <v>91</v>
      </c>
      <c r="G9" s="421"/>
      <c r="H9" s="422"/>
    </row>
    <row r="10" spans="1:10" ht="27.75" thickBot="1">
      <c r="B10" s="404" t="s">
        <v>92</v>
      </c>
      <c r="C10" s="405"/>
      <c r="D10" s="405"/>
      <c r="E10" s="121" t="s">
        <v>151</v>
      </c>
      <c r="F10" s="122" t="s">
        <v>94</v>
      </c>
      <c r="G10" s="406" t="s">
        <v>312</v>
      </c>
      <c r="H10" s="407"/>
    </row>
    <row r="11" spans="1:10" ht="15.75" hidden="1" thickBot="1">
      <c r="F11" s="123"/>
      <c r="G11" s="124"/>
      <c r="H11" s="125"/>
    </row>
    <row r="12" spans="1:10" ht="15.75" thickBot="1">
      <c r="B12" s="408"/>
      <c r="C12" s="409"/>
      <c r="D12" s="409"/>
      <c r="E12" s="410"/>
      <c r="F12" s="123"/>
      <c r="G12" s="124"/>
      <c r="H12" s="125"/>
    </row>
    <row r="13" spans="1:10" ht="30.75" thickBot="1">
      <c r="B13" s="411"/>
      <c r="C13" s="412"/>
      <c r="D13" s="412"/>
      <c r="E13" s="413"/>
      <c r="F13" s="122" t="s">
        <v>95</v>
      </c>
      <c r="G13" s="414">
        <v>3500</v>
      </c>
      <c r="H13" s="415"/>
      <c r="I13" s="7"/>
      <c r="J13" s="7"/>
    </row>
    <row r="14" spans="1:10" ht="15.75" thickBot="1"/>
    <row r="15" spans="1:10" ht="38.25" thickBot="1">
      <c r="B15" s="327" t="s">
        <v>96</v>
      </c>
      <c r="C15" s="328" t="s">
        <v>97</v>
      </c>
      <c r="D15" s="327" t="s">
        <v>9</v>
      </c>
      <c r="E15" s="329" t="s">
        <v>98</v>
      </c>
      <c r="F15" s="329" t="s">
        <v>99</v>
      </c>
      <c r="G15" s="327" t="s">
        <v>100</v>
      </c>
      <c r="H15" s="330" t="s">
        <v>101</v>
      </c>
    </row>
    <row r="16" spans="1:10" ht="24.95" customHeight="1" thickBot="1">
      <c r="B16" s="130">
        <v>1</v>
      </c>
      <c r="C16" s="323">
        <v>46235</v>
      </c>
      <c r="D16" s="132">
        <v>45815</v>
      </c>
      <c r="E16" s="133" t="s">
        <v>82</v>
      </c>
      <c r="F16" s="324" t="s">
        <v>248</v>
      </c>
      <c r="G16" s="135">
        <v>500</v>
      </c>
      <c r="H16" s="136"/>
    </row>
    <row r="17" spans="2:8" ht="24.95" customHeight="1" thickBot="1">
      <c r="B17" s="130">
        <v>2</v>
      </c>
      <c r="C17" s="323">
        <v>46236</v>
      </c>
      <c r="D17" s="132">
        <v>45937</v>
      </c>
      <c r="E17" s="137" t="s">
        <v>70</v>
      </c>
      <c r="F17" s="325" t="s">
        <v>148</v>
      </c>
      <c r="G17" s="135">
        <v>500</v>
      </c>
      <c r="H17" s="136"/>
    </row>
    <row r="18" spans="2:8" ht="24.95" customHeight="1" thickBot="1">
      <c r="B18" s="130">
        <v>3</v>
      </c>
      <c r="C18" s="323">
        <v>46237</v>
      </c>
      <c r="D18" s="132">
        <v>45938</v>
      </c>
      <c r="E18" s="133" t="s">
        <v>82</v>
      </c>
      <c r="F18" s="324" t="s">
        <v>248</v>
      </c>
      <c r="G18" s="135">
        <v>500</v>
      </c>
      <c r="H18" s="136"/>
    </row>
    <row r="19" spans="2:8" ht="24.95" customHeight="1" thickBot="1">
      <c r="B19" s="130">
        <v>4</v>
      </c>
      <c r="C19" s="323">
        <v>46238</v>
      </c>
      <c r="D19" s="132" t="s">
        <v>341</v>
      </c>
      <c r="E19" s="137" t="s">
        <v>70</v>
      </c>
      <c r="F19" s="325" t="s">
        <v>148</v>
      </c>
      <c r="G19" s="135">
        <v>500</v>
      </c>
      <c r="H19" s="136"/>
    </row>
    <row r="20" spans="2:8" ht="24.95" customHeight="1" thickBot="1">
      <c r="B20" s="130">
        <v>5</v>
      </c>
      <c r="C20" s="323">
        <v>46239</v>
      </c>
      <c r="D20" s="132">
        <v>45725</v>
      </c>
      <c r="E20" s="133" t="s">
        <v>82</v>
      </c>
      <c r="F20" s="324" t="s">
        <v>339</v>
      </c>
      <c r="G20" s="135">
        <v>500</v>
      </c>
      <c r="H20" s="136"/>
    </row>
    <row r="21" spans="2:8" ht="24.95" customHeight="1" thickBot="1">
      <c r="B21" s="130">
        <v>6</v>
      </c>
      <c r="C21" s="323">
        <v>46240</v>
      </c>
      <c r="D21" s="132">
        <v>45939</v>
      </c>
      <c r="E21" s="137" t="s">
        <v>70</v>
      </c>
      <c r="F21" s="325" t="s">
        <v>148</v>
      </c>
      <c r="G21" s="135">
        <v>500</v>
      </c>
      <c r="H21" s="136"/>
    </row>
    <row r="22" spans="2:8" ht="24.95" customHeight="1" thickBot="1">
      <c r="B22" s="130">
        <v>7</v>
      </c>
      <c r="C22" s="323">
        <v>46241</v>
      </c>
      <c r="D22" s="132" t="s">
        <v>340</v>
      </c>
      <c r="E22" s="326" t="s">
        <v>85</v>
      </c>
      <c r="F22" s="325" t="s">
        <v>155</v>
      </c>
      <c r="G22" s="135">
        <v>500</v>
      </c>
      <c r="H22" s="136"/>
    </row>
    <row r="23" spans="2:8" ht="24.95" customHeight="1" thickBot="1">
      <c r="B23" s="130"/>
      <c r="C23" s="323"/>
      <c r="D23" s="132"/>
      <c r="E23" s="137"/>
      <c r="F23" s="325"/>
      <c r="G23" s="135"/>
      <c r="H23" s="136"/>
    </row>
    <row r="24" spans="2:8" ht="24.95" customHeight="1" thickBot="1">
      <c r="B24" s="200"/>
      <c r="C24" s="319"/>
      <c r="D24" s="201"/>
      <c r="E24" s="320"/>
      <c r="F24" s="202"/>
      <c r="G24" s="321">
        <f>SUM(G16:G23)</f>
        <v>3500</v>
      </c>
      <c r="H24" s="322"/>
    </row>
  </sheetData>
  <mergeCells count="11">
    <mergeCell ref="B10:D10"/>
    <mergeCell ref="G10:H10"/>
    <mergeCell ref="B12:E13"/>
    <mergeCell ref="G13:H13"/>
    <mergeCell ref="A1:H1"/>
    <mergeCell ref="B2:H2"/>
    <mergeCell ref="B4:H4"/>
    <mergeCell ref="G6:H6"/>
    <mergeCell ref="B8:H8"/>
    <mergeCell ref="B9:D9"/>
    <mergeCell ref="G9:H9"/>
  </mergeCells>
  <printOptions horizontalCentered="1"/>
  <pageMargins left="0" right="0" top="0" bottom="0" header="0" footer="0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28"/>
  <sheetViews>
    <sheetView workbookViewId="0">
      <selection activeCell="M6" sqref="M6"/>
    </sheetView>
  </sheetViews>
  <sheetFormatPr defaultRowHeight="15"/>
  <cols>
    <col min="1" max="1" width="0.7109375" style="6" customWidth="1"/>
    <col min="2" max="2" width="4.7109375" style="6" customWidth="1"/>
    <col min="3" max="3" width="8" style="6" customWidth="1"/>
    <col min="4" max="4" width="14.85546875" style="6" customWidth="1"/>
    <col min="5" max="6" width="27.140625" style="6" customWidth="1"/>
    <col min="7" max="7" width="12.5703125" style="6" customWidth="1"/>
    <col min="8" max="8" width="7.5703125" style="6" customWidth="1"/>
    <col min="9" max="9" width="4.42578125" style="6" hidden="1" customWidth="1"/>
    <col min="10" max="10" width="1.140625" style="6" customWidth="1"/>
    <col min="11" max="16384" width="9.140625" style="6"/>
  </cols>
  <sheetData>
    <row r="1" spans="1:10" ht="15.75" thickBot="1">
      <c r="A1" s="356"/>
      <c r="B1" s="356"/>
      <c r="C1" s="356"/>
      <c r="D1" s="356"/>
      <c r="E1" s="356"/>
      <c r="F1" s="356"/>
      <c r="G1" s="356"/>
      <c r="H1" s="356"/>
    </row>
    <row r="2" spans="1:10" ht="29.25" thickBot="1">
      <c r="B2" s="416" t="s">
        <v>88</v>
      </c>
      <c r="C2" s="417"/>
      <c r="D2" s="417"/>
      <c r="E2" s="417"/>
      <c r="F2" s="417"/>
      <c r="G2" s="417"/>
      <c r="H2" s="418"/>
      <c r="I2" s="7"/>
      <c r="J2" s="7"/>
    </row>
    <row r="3" spans="1:10" ht="21">
      <c r="B3" s="8"/>
      <c r="C3" s="8"/>
      <c r="D3" s="8"/>
      <c r="E3" s="8"/>
      <c r="F3" s="8"/>
      <c r="G3" s="8"/>
      <c r="H3" s="8"/>
    </row>
    <row r="4" spans="1:10" ht="21">
      <c r="B4" s="419"/>
      <c r="C4" s="419"/>
      <c r="D4" s="419"/>
      <c r="E4" s="419"/>
      <c r="F4" s="419"/>
      <c r="G4" s="419"/>
      <c r="H4" s="419"/>
    </row>
    <row r="5" spans="1:10" ht="21">
      <c r="B5" s="120"/>
      <c r="C5" s="120"/>
      <c r="D5" s="120"/>
      <c r="E5" s="120"/>
      <c r="F5" s="120"/>
      <c r="G5" s="120"/>
      <c r="H5" s="120"/>
    </row>
    <row r="6" spans="1:10" ht="27">
      <c r="B6" s="120"/>
      <c r="C6" s="120"/>
      <c r="D6" s="120"/>
      <c r="E6" s="120"/>
      <c r="F6" s="120"/>
      <c r="G6" s="420"/>
      <c r="H6" s="420"/>
    </row>
    <row r="8" spans="1:10" ht="15.75" thickBot="1">
      <c r="B8" s="412"/>
      <c r="C8" s="412"/>
      <c r="D8" s="412"/>
      <c r="E8" s="412"/>
      <c r="F8" s="412"/>
      <c r="G8" s="412"/>
      <c r="H8" s="412"/>
    </row>
    <row r="9" spans="1:10" ht="27.75" thickBot="1">
      <c r="B9" s="404" t="s">
        <v>89</v>
      </c>
      <c r="C9" s="405"/>
      <c r="D9" s="405"/>
      <c r="E9" s="121" t="s">
        <v>90</v>
      </c>
      <c r="F9" s="122" t="s">
        <v>91</v>
      </c>
      <c r="G9" s="421"/>
      <c r="H9" s="422"/>
    </row>
    <row r="10" spans="1:10" ht="27.75" thickBot="1">
      <c r="B10" s="404" t="s">
        <v>92</v>
      </c>
      <c r="C10" s="405"/>
      <c r="D10" s="405"/>
      <c r="E10" s="121" t="s">
        <v>93</v>
      </c>
      <c r="F10" s="122" t="s">
        <v>94</v>
      </c>
      <c r="G10" s="406" t="s">
        <v>104</v>
      </c>
      <c r="H10" s="407"/>
    </row>
    <row r="11" spans="1:10" ht="15.75" hidden="1" thickBot="1">
      <c r="F11" s="123"/>
      <c r="G11" s="124"/>
      <c r="H11" s="125"/>
    </row>
    <row r="12" spans="1:10" ht="15.75" thickBot="1">
      <c r="B12" s="408"/>
      <c r="C12" s="409"/>
      <c r="D12" s="409"/>
      <c r="E12" s="410"/>
      <c r="F12" s="123"/>
      <c r="G12" s="124"/>
      <c r="H12" s="125"/>
    </row>
    <row r="13" spans="1:10" ht="30.75" thickBot="1">
      <c r="B13" s="411"/>
      <c r="C13" s="412"/>
      <c r="D13" s="412"/>
      <c r="E13" s="413"/>
      <c r="F13" s="122" t="s">
        <v>95</v>
      </c>
      <c r="G13" s="414">
        <v>864</v>
      </c>
      <c r="H13" s="415"/>
      <c r="I13" s="7"/>
      <c r="J13" s="7"/>
    </row>
    <row r="14" spans="1:10" ht="15.75" thickBot="1"/>
    <row r="15" spans="1:10" ht="38.25" thickBot="1">
      <c r="B15" s="126" t="s">
        <v>96</v>
      </c>
      <c r="C15" s="127" t="s">
        <v>97</v>
      </c>
      <c r="D15" s="126" t="s">
        <v>9</v>
      </c>
      <c r="E15" s="128" t="s">
        <v>98</v>
      </c>
      <c r="F15" s="128" t="s">
        <v>99</v>
      </c>
      <c r="G15" s="126" t="s">
        <v>100</v>
      </c>
      <c r="H15" s="129" t="s">
        <v>101</v>
      </c>
    </row>
    <row r="16" spans="1:10" ht="38.25" thickBot="1">
      <c r="B16" s="130">
        <v>1</v>
      </c>
      <c r="C16" s="141" t="s">
        <v>105</v>
      </c>
      <c r="D16" s="132" t="s">
        <v>87</v>
      </c>
      <c r="E16" s="137" t="s">
        <v>106</v>
      </c>
      <c r="F16" s="142" t="s">
        <v>107</v>
      </c>
      <c r="G16" s="135">
        <v>278</v>
      </c>
      <c r="H16" s="136"/>
    </row>
    <row r="17" spans="2:8" ht="21" thickBot="1">
      <c r="B17" s="130">
        <v>2</v>
      </c>
      <c r="C17" s="141" t="s">
        <v>108</v>
      </c>
      <c r="D17" s="132" t="s">
        <v>109</v>
      </c>
      <c r="E17" s="133" t="s">
        <v>85</v>
      </c>
      <c r="F17" s="142" t="s">
        <v>102</v>
      </c>
      <c r="G17" s="135">
        <v>300</v>
      </c>
      <c r="H17" s="136"/>
    </row>
    <row r="18" spans="2:8" ht="21" thickBot="1">
      <c r="B18" s="130">
        <v>3</v>
      </c>
      <c r="C18" s="141" t="s">
        <v>110</v>
      </c>
      <c r="D18" s="132" t="s">
        <v>111</v>
      </c>
      <c r="E18" s="137" t="s">
        <v>112</v>
      </c>
      <c r="F18" s="134" t="s">
        <v>113</v>
      </c>
      <c r="G18" s="135">
        <v>286</v>
      </c>
      <c r="H18" s="136"/>
    </row>
    <row r="19" spans="2:8" ht="21.75" thickBot="1">
      <c r="B19" s="130"/>
      <c r="C19" s="131"/>
      <c r="D19" s="132"/>
      <c r="E19" s="137"/>
      <c r="F19" s="134"/>
      <c r="G19" s="135"/>
      <c r="H19" s="136"/>
    </row>
    <row r="20" spans="2:8" ht="21.75" thickBot="1">
      <c r="B20" s="130"/>
      <c r="C20" s="131"/>
      <c r="D20" s="132"/>
      <c r="E20" s="133"/>
      <c r="F20" s="134"/>
      <c r="G20" s="135"/>
      <c r="H20" s="136"/>
    </row>
    <row r="21" spans="2:8" ht="21.75" thickBot="1">
      <c r="B21" s="130"/>
      <c r="C21" s="131"/>
      <c r="D21" s="132"/>
      <c r="E21" s="137"/>
      <c r="F21" s="134"/>
      <c r="G21" s="135"/>
      <c r="H21" s="136"/>
    </row>
    <row r="22" spans="2:8" ht="21.75" thickBot="1">
      <c r="B22" s="130"/>
      <c r="C22" s="131"/>
      <c r="D22" s="132"/>
      <c r="E22" s="133"/>
      <c r="F22" s="134"/>
      <c r="G22" s="135"/>
      <c r="H22" s="136"/>
    </row>
    <row r="23" spans="2:8" ht="21.75" thickBot="1">
      <c r="B23" s="130"/>
      <c r="C23" s="131"/>
      <c r="D23" s="132"/>
      <c r="E23" s="137"/>
      <c r="F23" s="134"/>
      <c r="G23" s="135"/>
      <c r="H23" s="136"/>
    </row>
    <row r="24" spans="2:8" ht="21.75" thickBot="1">
      <c r="B24" s="130"/>
      <c r="C24" s="131"/>
      <c r="D24" s="132"/>
      <c r="E24" s="133"/>
      <c r="F24" s="134"/>
      <c r="G24" s="135"/>
      <c r="H24" s="136"/>
    </row>
    <row r="25" spans="2:8" ht="21" thickBot="1">
      <c r="B25" s="130"/>
      <c r="C25" s="138"/>
      <c r="D25" s="132"/>
      <c r="E25" s="137"/>
      <c r="F25" s="134"/>
      <c r="G25" s="135"/>
      <c r="H25" s="139"/>
    </row>
    <row r="26" spans="2:8" ht="21" thickBot="1">
      <c r="B26" s="130"/>
      <c r="C26" s="138"/>
      <c r="D26" s="132"/>
      <c r="E26" s="133"/>
      <c r="F26" s="134"/>
      <c r="G26" s="135"/>
      <c r="H26" s="140"/>
    </row>
    <row r="27" spans="2:8" ht="21" thickBot="1">
      <c r="B27" s="130"/>
      <c r="C27" s="138"/>
      <c r="D27" s="132"/>
      <c r="E27" s="137"/>
      <c r="F27" s="134"/>
      <c r="G27" s="135"/>
      <c r="H27" s="140"/>
    </row>
    <row r="28" spans="2:8" ht="21" thickBot="1">
      <c r="B28" s="130"/>
      <c r="C28" s="138"/>
      <c r="D28" s="132"/>
      <c r="E28" s="133"/>
      <c r="F28" s="134"/>
      <c r="G28" s="135">
        <f>SUM(G16:G27)</f>
        <v>864</v>
      </c>
      <c r="H28" s="140"/>
    </row>
  </sheetData>
  <mergeCells count="11">
    <mergeCell ref="B10:D10"/>
    <mergeCell ref="G10:H10"/>
    <mergeCell ref="B12:E13"/>
    <mergeCell ref="G13:H13"/>
    <mergeCell ref="A1:H1"/>
    <mergeCell ref="B2:H2"/>
    <mergeCell ref="B4:H4"/>
    <mergeCell ref="G6:H6"/>
    <mergeCell ref="B8:H8"/>
    <mergeCell ref="B9:D9"/>
    <mergeCell ref="G9:H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P31"/>
  <sheetViews>
    <sheetView topLeftCell="A19" workbookViewId="0">
      <selection sqref="A1:J32"/>
    </sheetView>
  </sheetViews>
  <sheetFormatPr defaultRowHeight="15"/>
  <cols>
    <col min="1" max="1" width="3" customWidth="1"/>
    <col min="2" max="2" width="3.42578125" customWidth="1"/>
    <col min="3" max="3" width="21.5703125" customWidth="1"/>
    <col min="4" max="4" width="12" customWidth="1"/>
    <col min="5" max="5" width="11.7109375" customWidth="1"/>
    <col min="6" max="6" width="11.85546875" customWidth="1"/>
    <col min="7" max="7" width="12" customWidth="1"/>
    <col min="8" max="8" width="8.28515625" customWidth="1"/>
    <col min="9" max="9" width="12" customWidth="1"/>
    <col min="10" max="10" width="11.85546875" customWidth="1"/>
  </cols>
  <sheetData>
    <row r="1" spans="2:14" ht="15.75" thickBot="1"/>
    <row r="2" spans="2:14" ht="32.25" thickBot="1">
      <c r="B2" s="434" t="s">
        <v>122</v>
      </c>
      <c r="C2" s="435"/>
      <c r="D2" s="435"/>
      <c r="E2" s="435"/>
      <c r="F2" s="435"/>
      <c r="G2" s="435"/>
      <c r="H2" s="435"/>
      <c r="I2" s="435"/>
      <c r="J2" s="436"/>
    </row>
    <row r="3" spans="2:14" ht="24.75" thickBot="1">
      <c r="B3" s="437" t="s">
        <v>117</v>
      </c>
      <c r="C3" s="438"/>
      <c r="D3" s="438"/>
      <c r="E3" s="438"/>
      <c r="F3" s="438"/>
      <c r="G3" s="438"/>
      <c r="H3" s="438"/>
      <c r="I3" s="438"/>
      <c r="J3" s="439"/>
    </row>
    <row r="4" spans="2:14" ht="24.75" thickBot="1">
      <c r="B4" s="440" t="s">
        <v>118</v>
      </c>
      <c r="C4" s="441"/>
      <c r="D4" s="441"/>
      <c r="E4" s="441"/>
      <c r="F4" s="441"/>
      <c r="G4" s="441"/>
      <c r="H4" s="441"/>
      <c r="I4" s="441"/>
      <c r="J4" s="442"/>
    </row>
    <row r="5" spans="2:14" ht="24.75" thickBot="1">
      <c r="B5" s="443" t="s">
        <v>266</v>
      </c>
      <c r="C5" s="444"/>
      <c r="D5" s="444"/>
      <c r="E5" s="444"/>
      <c r="F5" s="444"/>
      <c r="G5" s="444"/>
      <c r="H5" s="444"/>
      <c r="I5" s="444"/>
      <c r="J5" s="445"/>
    </row>
    <row r="6" spans="2:14" ht="15.75" thickBot="1">
      <c r="B6" s="147"/>
      <c r="C6" s="446"/>
      <c r="D6" s="446"/>
      <c r="E6" s="446"/>
      <c r="F6" s="446"/>
      <c r="G6" s="446"/>
      <c r="H6" s="446"/>
      <c r="I6" s="446"/>
      <c r="J6" s="148"/>
    </row>
    <row r="7" spans="2:14" s="6" customFormat="1" ht="39" thickBot="1">
      <c r="B7" s="429" t="s">
        <v>0</v>
      </c>
      <c r="C7" s="430"/>
      <c r="D7" s="431" t="s">
        <v>284</v>
      </c>
      <c r="E7" s="431"/>
      <c r="F7" s="431"/>
      <c r="G7" s="432" t="s">
        <v>5</v>
      </c>
      <c r="H7" s="432"/>
      <c r="I7" s="433">
        <v>24160201802</v>
      </c>
      <c r="J7" s="433"/>
      <c r="K7" s="7"/>
    </row>
    <row r="8" spans="2:14" s="6" customFormat="1" ht="21.75" thickBot="1">
      <c r="B8"/>
      <c r="C8" s="8"/>
      <c r="D8" s="8"/>
      <c r="E8" s="8"/>
      <c r="F8" s="8"/>
      <c r="G8" s="8"/>
      <c r="H8" s="8"/>
      <c r="I8" s="8"/>
    </row>
    <row r="9" spans="2:14" s="6" customFormat="1" ht="21.75" thickBot="1">
      <c r="B9" s="447" t="s">
        <v>4</v>
      </c>
      <c r="C9" s="447"/>
      <c r="D9" s="448" t="s">
        <v>283</v>
      </c>
      <c r="E9" s="448"/>
      <c r="F9" s="448"/>
      <c r="G9" s="449" t="s">
        <v>6</v>
      </c>
      <c r="H9" s="449"/>
      <c r="I9" s="450" t="s">
        <v>7</v>
      </c>
      <c r="J9" s="450"/>
    </row>
    <row r="10" spans="2:14" ht="24" thickBot="1">
      <c r="B10" s="451" t="s">
        <v>119</v>
      </c>
      <c r="C10" s="452"/>
      <c r="D10" s="453" t="s">
        <v>138</v>
      </c>
      <c r="E10" s="453"/>
      <c r="F10" s="453"/>
      <c r="G10" s="454"/>
      <c r="H10" s="455"/>
      <c r="I10" s="456"/>
      <c r="J10" s="456"/>
      <c r="L10" s="174"/>
    </row>
    <row r="12" spans="2:14">
      <c r="B12" s="461" t="s">
        <v>96</v>
      </c>
      <c r="C12" s="461" t="s">
        <v>11</v>
      </c>
      <c r="D12" s="462" t="s">
        <v>324</v>
      </c>
      <c r="E12" s="464" t="s">
        <v>325</v>
      </c>
      <c r="F12" s="461" t="s">
        <v>3</v>
      </c>
      <c r="G12" s="461" t="s">
        <v>120</v>
      </c>
      <c r="H12" s="457" t="s">
        <v>2</v>
      </c>
      <c r="I12" s="457" t="s">
        <v>326</v>
      </c>
      <c r="J12" s="459" t="s">
        <v>327</v>
      </c>
    </row>
    <row r="13" spans="2:14" ht="51" customHeight="1">
      <c r="B13" s="461"/>
      <c r="C13" s="461"/>
      <c r="D13" s="463"/>
      <c r="E13" s="465"/>
      <c r="F13" s="466"/>
      <c r="G13" s="466"/>
      <c r="H13" s="458"/>
      <c r="I13" s="458"/>
      <c r="J13" s="460"/>
    </row>
    <row r="14" spans="2:14" ht="24.95" customHeight="1">
      <c r="B14" s="149">
        <v>1</v>
      </c>
      <c r="C14" s="153" t="s">
        <v>121</v>
      </c>
      <c r="D14" s="154">
        <v>2399</v>
      </c>
      <c r="E14" s="154">
        <v>154</v>
      </c>
      <c r="F14" s="154">
        <f>D14+E14</f>
        <v>2553</v>
      </c>
      <c r="G14" s="154">
        <v>0</v>
      </c>
      <c r="H14" s="302">
        <v>2399</v>
      </c>
      <c r="I14" s="154">
        <f>G14+H14</f>
        <v>2399</v>
      </c>
      <c r="J14" s="154">
        <f>F14-I14</f>
        <v>154</v>
      </c>
      <c r="N14">
        <v>45</v>
      </c>
    </row>
    <row r="15" spans="2:14" ht="24.95" customHeight="1">
      <c r="B15" s="149">
        <v>2</v>
      </c>
      <c r="C15" s="99" t="s">
        <v>74</v>
      </c>
      <c r="D15" s="154">
        <v>9000</v>
      </c>
      <c r="E15" s="154">
        <v>6000</v>
      </c>
      <c r="F15" s="154">
        <f t="shared" ref="F15:F22" si="0">D15+E15</f>
        <v>15000</v>
      </c>
      <c r="G15" s="154">
        <v>12000</v>
      </c>
      <c r="H15" s="154">
        <v>0</v>
      </c>
      <c r="I15" s="154">
        <v>15000</v>
      </c>
      <c r="J15" s="154">
        <f t="shared" ref="J15:J22" si="1">F15-I15</f>
        <v>0</v>
      </c>
      <c r="N15">
        <v>52</v>
      </c>
    </row>
    <row r="16" spans="2:14" ht="24.95" customHeight="1">
      <c r="B16" s="149">
        <v>3</v>
      </c>
      <c r="C16" s="99" t="s">
        <v>75</v>
      </c>
      <c r="D16" s="154">
        <v>500</v>
      </c>
      <c r="E16" s="154">
        <v>1000</v>
      </c>
      <c r="F16" s="154">
        <f t="shared" si="0"/>
        <v>1500</v>
      </c>
      <c r="G16" s="154">
        <v>1500</v>
      </c>
      <c r="H16" s="154">
        <v>0</v>
      </c>
      <c r="I16" s="154">
        <f t="shared" ref="I16:I22" si="2">G16+H16</f>
        <v>1500</v>
      </c>
      <c r="J16" s="154">
        <f t="shared" si="1"/>
        <v>0</v>
      </c>
      <c r="N16">
        <v>29</v>
      </c>
    </row>
    <row r="17" spans="2:16" ht="24.95" customHeight="1">
      <c r="B17" s="149">
        <v>4</v>
      </c>
      <c r="C17" s="99" t="s">
        <v>72</v>
      </c>
      <c r="D17" s="154">
        <v>0</v>
      </c>
      <c r="E17" s="154">
        <v>1100</v>
      </c>
      <c r="F17" s="154">
        <f t="shared" si="0"/>
        <v>1100</v>
      </c>
      <c r="G17" s="154">
        <v>1100</v>
      </c>
      <c r="H17" s="154">
        <v>0</v>
      </c>
      <c r="I17" s="154">
        <f t="shared" si="2"/>
        <v>1100</v>
      </c>
      <c r="J17" s="154">
        <f t="shared" si="1"/>
        <v>0</v>
      </c>
      <c r="N17">
        <v>28</v>
      </c>
    </row>
    <row r="18" spans="2:16" ht="24.95" customHeight="1">
      <c r="B18" s="149">
        <v>5</v>
      </c>
      <c r="C18" s="99" t="s">
        <v>76</v>
      </c>
      <c r="D18" s="154">
        <v>1</v>
      </c>
      <c r="E18" s="154">
        <v>0</v>
      </c>
      <c r="F18" s="154">
        <f t="shared" si="0"/>
        <v>1</v>
      </c>
      <c r="G18" s="154">
        <v>0</v>
      </c>
      <c r="H18" s="154">
        <v>1</v>
      </c>
      <c r="I18" s="154">
        <f t="shared" si="2"/>
        <v>1</v>
      </c>
      <c r="J18" s="154">
        <f t="shared" si="1"/>
        <v>0</v>
      </c>
      <c r="N18">
        <f>SUM(N14:N17)</f>
        <v>154</v>
      </c>
    </row>
    <row r="19" spans="2:16" ht="24.95" customHeight="1">
      <c r="B19" s="149">
        <v>6</v>
      </c>
      <c r="C19" s="99" t="s">
        <v>77</v>
      </c>
      <c r="D19" s="154">
        <v>0</v>
      </c>
      <c r="E19" s="154">
        <v>1200</v>
      </c>
      <c r="F19" s="154">
        <f t="shared" si="0"/>
        <v>1200</v>
      </c>
      <c r="G19" s="154">
        <v>1200</v>
      </c>
      <c r="H19" s="154">
        <v>0</v>
      </c>
      <c r="I19" s="154">
        <f t="shared" si="2"/>
        <v>1200</v>
      </c>
      <c r="J19" s="154">
        <f t="shared" si="1"/>
        <v>0</v>
      </c>
    </row>
    <row r="20" spans="2:16" ht="24.95" customHeight="1">
      <c r="B20" s="149">
        <v>7</v>
      </c>
      <c r="C20" s="99" t="s">
        <v>78</v>
      </c>
      <c r="D20" s="154">
        <v>500</v>
      </c>
      <c r="E20" s="154">
        <v>500</v>
      </c>
      <c r="F20" s="154">
        <f t="shared" si="0"/>
        <v>1000</v>
      </c>
      <c r="G20" s="154">
        <v>1000</v>
      </c>
      <c r="H20" s="154">
        <v>0</v>
      </c>
      <c r="I20" s="154">
        <f t="shared" si="2"/>
        <v>1000</v>
      </c>
      <c r="J20" s="154">
        <f t="shared" si="1"/>
        <v>0</v>
      </c>
    </row>
    <row r="21" spans="2:16" ht="24.95" customHeight="1">
      <c r="B21" s="149">
        <v>8</v>
      </c>
      <c r="C21" s="99" t="s">
        <v>80</v>
      </c>
      <c r="D21" s="154">
        <v>500</v>
      </c>
      <c r="E21" s="154">
        <v>1500</v>
      </c>
      <c r="F21" s="154">
        <f t="shared" si="0"/>
        <v>2000</v>
      </c>
      <c r="G21" s="154">
        <v>2000</v>
      </c>
      <c r="H21" s="154">
        <v>0</v>
      </c>
      <c r="I21" s="154">
        <f t="shared" si="2"/>
        <v>2000</v>
      </c>
      <c r="J21" s="154">
        <f t="shared" si="1"/>
        <v>0</v>
      </c>
    </row>
    <row r="22" spans="2:16" ht="24.95" customHeight="1">
      <c r="B22" s="149">
        <v>9</v>
      </c>
      <c r="C22" s="99" t="s">
        <v>81</v>
      </c>
      <c r="D22" s="154">
        <v>98</v>
      </c>
      <c r="E22" s="154">
        <v>17963</v>
      </c>
      <c r="F22" s="154">
        <f t="shared" si="0"/>
        <v>18061</v>
      </c>
      <c r="G22" s="154">
        <v>17963</v>
      </c>
      <c r="H22" s="302">
        <v>98</v>
      </c>
      <c r="I22" s="154">
        <f t="shared" si="2"/>
        <v>18061</v>
      </c>
      <c r="J22" s="154">
        <f t="shared" si="1"/>
        <v>0</v>
      </c>
    </row>
    <row r="23" spans="2:16" ht="24.95" customHeight="1">
      <c r="B23" s="149"/>
      <c r="C23" s="150"/>
      <c r="D23" s="155"/>
      <c r="E23" s="155"/>
      <c r="F23" s="155"/>
      <c r="G23" s="155"/>
      <c r="H23" s="155"/>
      <c r="I23" s="155"/>
      <c r="J23" s="155"/>
    </row>
    <row r="24" spans="2:16" ht="24.95" customHeight="1">
      <c r="B24" s="151"/>
      <c r="C24" s="152" t="s">
        <v>3</v>
      </c>
      <c r="D24" s="156">
        <f t="shared" ref="D24:J24" si="3">SUM(D14:D23)</f>
        <v>12998</v>
      </c>
      <c r="E24" s="156">
        <f t="shared" si="3"/>
        <v>29417</v>
      </c>
      <c r="F24" s="156">
        <f t="shared" si="3"/>
        <v>42415</v>
      </c>
      <c r="G24" s="156">
        <f t="shared" si="3"/>
        <v>36763</v>
      </c>
      <c r="H24" s="303">
        <f t="shared" si="3"/>
        <v>2498</v>
      </c>
      <c r="I24" s="156">
        <f t="shared" si="3"/>
        <v>42261</v>
      </c>
      <c r="J24" s="156">
        <f t="shared" si="3"/>
        <v>154</v>
      </c>
    </row>
    <row r="26" spans="2:16" ht="15.75" thickBot="1"/>
    <row r="27" spans="2:16" ht="21">
      <c r="B27" s="467" t="s">
        <v>267</v>
      </c>
      <c r="C27" s="468"/>
      <c r="D27" s="468"/>
      <c r="E27" s="468"/>
      <c r="F27" s="468"/>
      <c r="G27" s="468"/>
      <c r="H27" s="468"/>
      <c r="I27" s="468"/>
      <c r="J27" s="469"/>
      <c r="K27" s="206"/>
    </row>
    <row r="28" spans="2:16" ht="23.25" thickBot="1">
      <c r="B28" s="470" t="s">
        <v>161</v>
      </c>
      <c r="C28" s="471"/>
      <c r="D28" s="472">
        <f>D24</f>
        <v>12998</v>
      </c>
      <c r="E28" s="473"/>
      <c r="F28" s="474" t="s">
        <v>162</v>
      </c>
      <c r="G28" s="474"/>
      <c r="H28" s="474"/>
      <c r="I28" s="472">
        <f>E24</f>
        <v>29417</v>
      </c>
      <c r="J28" s="475"/>
      <c r="P28" s="101"/>
    </row>
    <row r="29" spans="2:16" ht="24" thickTop="1" thickBot="1">
      <c r="B29" s="476" t="s">
        <v>163</v>
      </c>
      <c r="C29" s="477"/>
      <c r="D29" s="478">
        <f>F24</f>
        <v>42415</v>
      </c>
      <c r="E29" s="479"/>
      <c r="F29" s="474" t="s">
        <v>164</v>
      </c>
      <c r="G29" s="474"/>
      <c r="H29" s="474"/>
      <c r="I29" s="478">
        <f>I24</f>
        <v>42261</v>
      </c>
      <c r="J29" s="480"/>
    </row>
    <row r="30" spans="2:16" ht="24" thickTop="1" thickBot="1">
      <c r="B30" s="476" t="s">
        <v>165</v>
      </c>
      <c r="C30" s="477"/>
      <c r="D30" s="477"/>
      <c r="E30" s="477"/>
      <c r="F30" s="477"/>
      <c r="G30" s="478">
        <f>J24</f>
        <v>154</v>
      </c>
      <c r="H30" s="479"/>
      <c r="I30" s="481" t="s">
        <v>166</v>
      </c>
      <c r="J30" s="482"/>
    </row>
    <row r="31" spans="2:16" ht="22.5" thickTop="1" thickBot="1">
      <c r="B31" s="207" t="s">
        <v>167</v>
      </c>
      <c r="C31" s="208"/>
      <c r="D31" s="208"/>
      <c r="E31" s="208"/>
      <c r="F31" s="208"/>
      <c r="G31" s="208"/>
      <c r="H31" s="208"/>
      <c r="I31" s="208"/>
      <c r="J31" s="209"/>
    </row>
  </sheetData>
  <mergeCells count="38">
    <mergeCell ref="B29:C29"/>
    <mergeCell ref="D29:E29"/>
    <mergeCell ref="F29:H29"/>
    <mergeCell ref="I29:J29"/>
    <mergeCell ref="B30:F30"/>
    <mergeCell ref="G30:H30"/>
    <mergeCell ref="I30:J30"/>
    <mergeCell ref="B27:J27"/>
    <mergeCell ref="B28:C28"/>
    <mergeCell ref="D28:E28"/>
    <mergeCell ref="F28:H28"/>
    <mergeCell ref="I28:J28"/>
    <mergeCell ref="H12:H13"/>
    <mergeCell ref="I12:I13"/>
    <mergeCell ref="J12:J13"/>
    <mergeCell ref="B12:B13"/>
    <mergeCell ref="C12:C13"/>
    <mergeCell ref="D12:D13"/>
    <mergeCell ref="E12:E13"/>
    <mergeCell ref="F12:F13"/>
    <mergeCell ref="G12:G13"/>
    <mergeCell ref="B9:C9"/>
    <mergeCell ref="D9:F9"/>
    <mergeCell ref="G9:H9"/>
    <mergeCell ref="I9:J9"/>
    <mergeCell ref="B10:C10"/>
    <mergeCell ref="D10:F10"/>
    <mergeCell ref="G10:H10"/>
    <mergeCell ref="I10:J10"/>
    <mergeCell ref="B7:C7"/>
    <mergeCell ref="D7:F7"/>
    <mergeCell ref="G7:H7"/>
    <mergeCell ref="I7:J7"/>
    <mergeCell ref="B2:J2"/>
    <mergeCell ref="B3:J3"/>
    <mergeCell ref="B4:J4"/>
    <mergeCell ref="B5:J5"/>
    <mergeCell ref="C6:I6"/>
  </mergeCells>
  <printOptions horizontalCentered="1" verticalCentered="1"/>
  <pageMargins left="0" right="0" top="0" bottom="0" header="0" footer="0"/>
  <pageSetup paperSize="9" scale="71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B1:H28"/>
  <sheetViews>
    <sheetView topLeftCell="A8" workbookViewId="0">
      <selection sqref="A1:G29"/>
    </sheetView>
  </sheetViews>
  <sheetFormatPr defaultRowHeight="15"/>
  <cols>
    <col min="1" max="1" width="3.42578125" customWidth="1"/>
    <col min="2" max="2" width="8.85546875" customWidth="1"/>
    <col min="3" max="3" width="12.85546875" customWidth="1"/>
    <col min="4" max="4" width="44.140625" customWidth="1"/>
    <col min="5" max="5" width="16.7109375" customWidth="1"/>
    <col min="6" max="6" width="10.28515625" customWidth="1"/>
    <col min="7" max="7" width="9.5703125" customWidth="1"/>
  </cols>
  <sheetData>
    <row r="1" spans="2:8" ht="15.75" thickBot="1"/>
    <row r="2" spans="2:8" ht="32.25" thickBot="1">
      <c r="B2" s="491" t="s">
        <v>160</v>
      </c>
      <c r="C2" s="492"/>
      <c r="D2" s="492"/>
      <c r="E2" s="492"/>
      <c r="F2" s="492"/>
      <c r="G2" s="493"/>
    </row>
    <row r="3" spans="2:8" ht="24.75" thickBot="1">
      <c r="B3" s="494" t="s">
        <v>117</v>
      </c>
      <c r="C3" s="495"/>
      <c r="D3" s="495"/>
      <c r="E3" s="495"/>
      <c r="F3" s="495"/>
      <c r="G3" s="496"/>
    </row>
    <row r="4" spans="2:8" ht="24.75" thickBot="1">
      <c r="B4" s="497" t="s">
        <v>123</v>
      </c>
      <c r="C4" s="498"/>
      <c r="D4" s="498"/>
      <c r="E4" s="498"/>
      <c r="F4" s="498"/>
      <c r="G4" s="499"/>
    </row>
    <row r="5" spans="2:8" ht="24.75" thickBot="1">
      <c r="B5" s="500" t="s">
        <v>266</v>
      </c>
      <c r="C5" s="501"/>
      <c r="D5" s="501"/>
      <c r="E5" s="501"/>
      <c r="F5" s="501"/>
      <c r="G5" s="502"/>
    </row>
    <row r="6" spans="2:8" ht="15.75" thickBot="1">
      <c r="B6" s="147"/>
      <c r="C6" s="446"/>
      <c r="D6" s="446"/>
      <c r="E6" s="446"/>
      <c r="F6" s="446"/>
      <c r="G6" s="148"/>
    </row>
    <row r="7" spans="2:8" s="6" customFormat="1" ht="35.25" thickBot="1">
      <c r="B7" s="429" t="s">
        <v>0</v>
      </c>
      <c r="C7" s="430"/>
      <c r="D7" s="204" t="s">
        <v>136</v>
      </c>
      <c r="E7" s="157" t="s">
        <v>5</v>
      </c>
      <c r="F7" s="503">
        <v>24160201802</v>
      </c>
      <c r="G7" s="504"/>
      <c r="H7" s="7"/>
    </row>
    <row r="8" spans="2:8" s="6" customFormat="1" ht="21.75" thickBot="1">
      <c r="B8"/>
      <c r="C8" s="8"/>
      <c r="D8" s="8"/>
      <c r="E8" s="8"/>
      <c r="F8" s="8"/>
    </row>
    <row r="9" spans="2:8" s="6" customFormat="1" ht="21.75" thickBot="1">
      <c r="B9" s="447" t="s">
        <v>4</v>
      </c>
      <c r="C9" s="447"/>
      <c r="D9" s="158" t="s">
        <v>137</v>
      </c>
      <c r="E9" s="159" t="s">
        <v>6</v>
      </c>
      <c r="F9" s="450" t="s">
        <v>7</v>
      </c>
      <c r="G9" s="450"/>
    </row>
    <row r="10" spans="2:8" ht="24" thickBot="1">
      <c r="B10" s="451" t="s">
        <v>119</v>
      </c>
      <c r="C10" s="452"/>
      <c r="D10" s="205" t="s">
        <v>138</v>
      </c>
      <c r="E10" s="160"/>
      <c r="F10" s="456"/>
      <c r="G10" s="456"/>
    </row>
    <row r="11" spans="2:8" ht="24" thickBot="1">
      <c r="B11" s="161"/>
      <c r="C11" s="162"/>
      <c r="D11" s="163"/>
      <c r="E11" s="164"/>
      <c r="F11" s="165"/>
      <c r="G11" s="165"/>
    </row>
    <row r="12" spans="2:8">
      <c r="B12" s="505" t="s">
        <v>124</v>
      </c>
      <c r="C12" s="506"/>
      <c r="D12" s="506"/>
      <c r="E12" s="506"/>
      <c r="F12" s="506"/>
      <c r="G12" s="507"/>
    </row>
    <row r="13" spans="2:8">
      <c r="B13" s="508"/>
      <c r="C13" s="509"/>
      <c r="D13" s="509"/>
      <c r="E13" s="509"/>
      <c r="F13" s="509"/>
      <c r="G13" s="510"/>
    </row>
    <row r="14" spans="2:8" ht="15.75" thickBot="1">
      <c r="B14" s="511"/>
      <c r="C14" s="512"/>
      <c r="D14" s="512"/>
      <c r="E14" s="512"/>
      <c r="F14" s="512"/>
      <c r="G14" s="513"/>
    </row>
    <row r="15" spans="2:8">
      <c r="B15" s="14"/>
      <c r="C15" s="14"/>
      <c r="D15" s="14"/>
      <c r="E15" s="14"/>
      <c r="F15" s="14"/>
      <c r="G15" s="14"/>
    </row>
    <row r="16" spans="2:8" ht="15.75" thickBot="1">
      <c r="B16" s="166"/>
      <c r="C16" s="166"/>
      <c r="D16" s="166"/>
      <c r="E16" s="14"/>
      <c r="F16" s="14"/>
      <c r="G16" s="14"/>
    </row>
    <row r="17" spans="2:7">
      <c r="B17" s="483"/>
      <c r="C17" s="484"/>
      <c r="D17" s="484"/>
      <c r="E17" s="484"/>
      <c r="F17" s="484"/>
      <c r="G17" s="485"/>
    </row>
    <row r="18" spans="2:7">
      <c r="B18" s="486"/>
      <c r="C18" s="362"/>
      <c r="D18" s="362"/>
      <c r="E18" s="362"/>
      <c r="F18" s="362"/>
      <c r="G18" s="487"/>
    </row>
    <row r="19" spans="2:7" ht="15.75" thickBot="1">
      <c r="B19" s="488"/>
      <c r="C19" s="489"/>
      <c r="D19" s="489"/>
      <c r="E19" s="489"/>
      <c r="F19" s="489"/>
      <c r="G19" s="490"/>
    </row>
    <row r="20" spans="2:7" ht="24.75" thickBot="1">
      <c r="B20" s="167" t="s">
        <v>125</v>
      </c>
      <c r="C20" s="520" t="s">
        <v>268</v>
      </c>
      <c r="D20" s="520"/>
      <c r="E20" s="517">
        <v>154</v>
      </c>
      <c r="F20" s="518"/>
      <c r="G20" s="519"/>
    </row>
    <row r="21" spans="2:7" ht="21.75" thickBot="1">
      <c r="B21" s="168"/>
      <c r="C21" s="169" t="s">
        <v>126</v>
      </c>
      <c r="D21" s="170" t="s">
        <v>127</v>
      </c>
      <c r="E21" s="514"/>
      <c r="F21" s="515"/>
      <c r="G21" s="516"/>
    </row>
    <row r="22" spans="2:7" ht="38.25" thickBot="1">
      <c r="B22" s="168"/>
      <c r="C22" s="169" t="s">
        <v>128</v>
      </c>
      <c r="D22" s="170" t="s">
        <v>129</v>
      </c>
      <c r="E22" s="514"/>
      <c r="F22" s="515"/>
      <c r="G22" s="516"/>
    </row>
    <row r="23" spans="2:7" ht="24.75" thickBot="1">
      <c r="B23" s="168"/>
      <c r="C23" s="171"/>
      <c r="D23" s="172" t="s">
        <v>130</v>
      </c>
      <c r="E23" s="517">
        <f>E20</f>
        <v>154</v>
      </c>
      <c r="F23" s="518"/>
      <c r="G23" s="519"/>
    </row>
    <row r="24" spans="2:7" ht="24.75" thickBot="1">
      <c r="B24" s="172" t="s">
        <v>131</v>
      </c>
      <c r="C24" s="171"/>
      <c r="D24" s="173" t="s">
        <v>132</v>
      </c>
      <c r="E24" s="514"/>
      <c r="F24" s="515"/>
      <c r="G24" s="516"/>
    </row>
    <row r="25" spans="2:7" ht="38.25" thickBot="1">
      <c r="B25" s="171"/>
      <c r="C25" s="170" t="s">
        <v>126</v>
      </c>
      <c r="D25" s="170" t="s">
        <v>133</v>
      </c>
      <c r="E25" s="514"/>
      <c r="F25" s="515"/>
      <c r="G25" s="516"/>
    </row>
    <row r="26" spans="2:7" ht="38.25" thickBot="1">
      <c r="B26" s="171"/>
      <c r="C26" s="170" t="s">
        <v>128</v>
      </c>
      <c r="D26" s="170" t="s">
        <v>134</v>
      </c>
      <c r="E26" s="514"/>
      <c r="F26" s="515"/>
      <c r="G26" s="516"/>
    </row>
    <row r="27" spans="2:7" ht="24.75" thickBot="1">
      <c r="B27" s="171"/>
      <c r="C27" s="171"/>
      <c r="D27" s="172" t="s">
        <v>135</v>
      </c>
      <c r="E27" s="514"/>
      <c r="F27" s="515"/>
      <c r="G27" s="516"/>
    </row>
    <row r="28" spans="2:7" ht="42.75" thickBot="1">
      <c r="B28" s="171"/>
      <c r="C28" s="171"/>
      <c r="D28" s="169" t="s">
        <v>285</v>
      </c>
      <c r="E28" s="517">
        <f>E20</f>
        <v>154</v>
      </c>
      <c r="F28" s="518"/>
      <c r="G28" s="519"/>
    </row>
  </sheetData>
  <mergeCells count="23">
    <mergeCell ref="E25:G25"/>
    <mergeCell ref="E26:G26"/>
    <mergeCell ref="E27:G27"/>
    <mergeCell ref="E28:G28"/>
    <mergeCell ref="C20:D20"/>
    <mergeCell ref="E20:G20"/>
    <mergeCell ref="E21:G21"/>
    <mergeCell ref="E22:G22"/>
    <mergeCell ref="E23:G23"/>
    <mergeCell ref="E24:G24"/>
    <mergeCell ref="B17:G19"/>
    <mergeCell ref="B2:G2"/>
    <mergeCell ref="B3:G3"/>
    <mergeCell ref="B4:G4"/>
    <mergeCell ref="B5:G5"/>
    <mergeCell ref="C6:F6"/>
    <mergeCell ref="B7:C7"/>
    <mergeCell ref="F7:G7"/>
    <mergeCell ref="B9:C9"/>
    <mergeCell ref="F9:G9"/>
    <mergeCell ref="B10:C10"/>
    <mergeCell ref="F10:G10"/>
    <mergeCell ref="B12:G14"/>
  </mergeCells>
  <pageMargins left="0" right="0" top="0" bottom="0" header="0" footer="0"/>
  <pageSetup paperSize="9" scale="97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ROJMED</vt:lpstr>
      <vt:lpstr>KHATAVAHI</vt:lpstr>
      <vt:lpstr>GRANTA RAJISTAR</vt:lpstr>
      <vt:lpstr>CHEK RAJISTAR</vt:lpstr>
      <vt:lpstr>Sheet4</vt:lpstr>
      <vt:lpstr>BIL RAJISTAR</vt:lpstr>
      <vt:lpstr>Sheet3</vt:lpstr>
      <vt:lpstr>Sheet1</vt:lpstr>
      <vt:lpstr>Sheet2</vt:lpstr>
      <vt:lpstr>P10</vt:lpstr>
      <vt:lpstr>P9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betavada na muvada</dc:creator>
  <cp:lastModifiedBy>MINTUBEN BABUBHAI. PATEL -10040305</cp:lastModifiedBy>
  <cp:lastPrinted>2026-05-27T23:15:18Z</cp:lastPrinted>
  <dcterms:created xsi:type="dcterms:W3CDTF">2023-04-11T19:42:12Z</dcterms:created>
  <dcterms:modified xsi:type="dcterms:W3CDTF">2026-09-22T14:51:48Z</dcterms:modified>
</cp:coreProperties>
</file>