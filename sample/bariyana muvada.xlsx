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2 fainal odit 2024-25\202425\SMCE 2024-25 ODIT\bariyana muvada\"/>
    </mc:Choice>
  </mc:AlternateContent>
  <bookViews>
    <workbookView xWindow="0" yWindow="0" windowWidth="28800" windowHeight="12180" firstSheet="2" activeTab="12"/>
  </bookViews>
  <sheets>
    <sheet name="Sheet3" sheetId="3" r:id="rId1"/>
    <sheet name="PARI- 10" sheetId="1" r:id="rId2"/>
    <sheet name="ROJMED" sheetId="10" r:id="rId3"/>
    <sheet name="KHATAVAHI" sheetId="2" r:id="rId4"/>
    <sheet name="GRANTA RAJISTAR" sheetId="5" r:id="rId5"/>
    <sheet name="CHEK RAJISTAR" sheetId="6" r:id="rId6"/>
    <sheet name="Sheet4" sheetId="8" r:id="rId7"/>
    <sheet name="BIL RAJISTAR" sheetId="7" r:id="rId8"/>
    <sheet name="Sheet1" sheetId="11" r:id="rId9"/>
    <sheet name="Sheet5" sheetId="17" r:id="rId10"/>
    <sheet name="Sheet6" sheetId="18" r:id="rId11"/>
    <sheet name="Sheet2" sheetId="12" r:id="rId12"/>
    <sheet name="P10E" sheetId="15" r:id="rId13"/>
    <sheet name="P9E" sheetId="16" r:id="rId1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7" l="1"/>
  <c r="K24" i="15"/>
  <c r="K23" i="15"/>
  <c r="E24" i="15"/>
  <c r="F51" i="2"/>
  <c r="G61" i="2"/>
  <c r="O10" i="2"/>
  <c r="I293" i="10"/>
  <c r="P287" i="10"/>
  <c r="O298" i="10"/>
  <c r="G297" i="10"/>
  <c r="P296" i="10"/>
  <c r="Q296" i="10" s="1"/>
  <c r="Q291" i="10"/>
  <c r="J291" i="10"/>
  <c r="G288" i="10"/>
  <c r="U287" i="10"/>
  <c r="U289" i="10" s="1"/>
  <c r="T287" i="10"/>
  <c r="T289" i="10" s="1"/>
  <c r="O287" i="10"/>
  <c r="O289" i="10" s="1"/>
  <c r="Q283" i="10"/>
  <c r="J283" i="10"/>
  <c r="P276" i="10"/>
  <c r="O276" i="10"/>
  <c r="O278" i="10" s="1"/>
  <c r="G277" i="10"/>
  <c r="I275" i="10"/>
  <c r="Q274" i="10"/>
  <c r="Q273" i="10"/>
  <c r="Q271" i="10"/>
  <c r="J271" i="10"/>
  <c r="G268" i="10"/>
  <c r="U267" i="10"/>
  <c r="U269" i="10" s="1"/>
  <c r="T267" i="10"/>
  <c r="T269" i="10" s="1"/>
  <c r="P267" i="10"/>
  <c r="O267" i="10"/>
  <c r="O269" i="10" s="1"/>
  <c r="I265" i="10"/>
  <c r="I264" i="10"/>
  <c r="Q262" i="10"/>
  <c r="J262" i="10"/>
  <c r="O257" i="10"/>
  <c r="G256" i="10"/>
  <c r="P255" i="10"/>
  <c r="Q255" i="10" s="1"/>
  <c r="Q250" i="10"/>
  <c r="J250" i="10"/>
  <c r="G247" i="10"/>
  <c r="U246" i="10"/>
  <c r="U248" i="10" s="1"/>
  <c r="T246" i="10"/>
  <c r="T248" i="10" s="1"/>
  <c r="O246" i="10"/>
  <c r="O248" i="10" s="1"/>
  <c r="Q242" i="10"/>
  <c r="J242" i="10"/>
  <c r="I205" i="10"/>
  <c r="O206" i="10"/>
  <c r="Q201" i="10"/>
  <c r="Q202" i="10"/>
  <c r="Q203" i="10"/>
  <c r="Q204" i="10"/>
  <c r="Q205" i="10"/>
  <c r="Q200" i="10"/>
  <c r="I165" i="10"/>
  <c r="I155" i="10"/>
  <c r="I123" i="10"/>
  <c r="P124" i="10"/>
  <c r="Q122" i="10"/>
  <c r="Q123" i="10"/>
  <c r="Q121" i="10"/>
  <c r="I112" i="10"/>
  <c r="I100" i="10"/>
  <c r="I91" i="10"/>
  <c r="I80" i="10"/>
  <c r="Q276" i="10" l="1"/>
  <c r="Q287" i="10"/>
  <c r="Q267" i="10"/>
  <c r="Q246" i="10"/>
  <c r="O45" i="2"/>
  <c r="F12" i="6"/>
  <c r="F7" i="6"/>
  <c r="D28" i="16"/>
  <c r="D23" i="16"/>
  <c r="O23" i="15"/>
  <c r="P16" i="15"/>
  <c r="O18" i="15"/>
  <c r="P6" i="5"/>
  <c r="M11" i="5" l="1"/>
  <c r="J11" i="5"/>
  <c r="I11" i="5"/>
  <c r="M19" i="5"/>
  <c r="J19" i="5"/>
  <c r="I19" i="5"/>
  <c r="M18" i="5"/>
  <c r="J18" i="5"/>
  <c r="I18" i="5"/>
  <c r="M17" i="5"/>
  <c r="J17" i="5"/>
  <c r="I17" i="5"/>
  <c r="M16" i="5"/>
  <c r="J16" i="5"/>
  <c r="I16" i="5"/>
  <c r="M15" i="5"/>
  <c r="J15" i="5"/>
  <c r="I15" i="5"/>
  <c r="M14" i="5"/>
  <c r="J14" i="5"/>
  <c r="I14" i="5"/>
  <c r="M13" i="5"/>
  <c r="J13" i="5"/>
  <c r="I13" i="5"/>
  <c r="M12" i="5"/>
  <c r="J12" i="5"/>
  <c r="I12" i="5"/>
  <c r="M10" i="5"/>
  <c r="J10" i="5"/>
  <c r="I10" i="5"/>
  <c r="M9" i="5"/>
  <c r="J9" i="5"/>
  <c r="I9" i="5"/>
  <c r="M8" i="5"/>
  <c r="J8" i="5"/>
  <c r="I8" i="5"/>
  <c r="M7" i="5"/>
  <c r="J7" i="5"/>
  <c r="I7" i="5"/>
  <c r="M6" i="5"/>
  <c r="J6" i="5"/>
  <c r="I6" i="5"/>
  <c r="M5" i="5"/>
  <c r="J5" i="5"/>
  <c r="I5" i="5"/>
  <c r="F64" i="2"/>
  <c r="E64" i="2"/>
  <c r="G57" i="2"/>
  <c r="G58" i="2" s="1"/>
  <c r="G59" i="2" s="1"/>
  <c r="G60" i="2" s="1"/>
  <c r="N51" i="2"/>
  <c r="M51" i="2"/>
  <c r="E51" i="2"/>
  <c r="R48" i="2" s="1"/>
  <c r="O42" i="2"/>
  <c r="O43" i="2" s="1"/>
  <c r="O44" i="2" s="1"/>
  <c r="G42" i="2"/>
  <c r="G43" i="2" s="1"/>
  <c r="G44" i="2" s="1"/>
  <c r="G45" i="2" s="1"/>
  <c r="G46" i="2" s="1"/>
  <c r="G47" i="2" s="1"/>
  <c r="G48" i="2" s="1"/>
  <c r="G51" i="2" s="1"/>
  <c r="N37" i="2"/>
  <c r="M37" i="2"/>
  <c r="F37" i="2"/>
  <c r="E37" i="2"/>
  <c r="O31" i="2"/>
  <c r="O32" i="2" s="1"/>
  <c r="O33" i="2" s="1"/>
  <c r="G31" i="2"/>
  <c r="G32" i="2" s="1"/>
  <c r="G33" i="2" s="1"/>
  <c r="N25" i="2"/>
  <c r="M25" i="2"/>
  <c r="F25" i="2"/>
  <c r="E25" i="2"/>
  <c r="V22" i="2"/>
  <c r="V24" i="2" s="1"/>
  <c r="O19" i="2"/>
  <c r="O20" i="2" s="1"/>
  <c r="G19" i="2"/>
  <c r="G20" i="2" s="1"/>
  <c r="G21" i="2" s="1"/>
  <c r="N14" i="2"/>
  <c r="M14" i="2"/>
  <c r="O14" i="2" s="1"/>
  <c r="F14" i="2"/>
  <c r="E14" i="2"/>
  <c r="G14" i="2" s="1"/>
  <c r="S10" i="2"/>
  <c r="T9" i="2"/>
  <c r="R7" i="2"/>
  <c r="O5" i="2"/>
  <c r="O6" i="2" s="1"/>
  <c r="O7" i="2" s="1"/>
  <c r="O8" i="2" s="1"/>
  <c r="O9" i="2" s="1"/>
  <c r="G5" i="2"/>
  <c r="G6" i="2" s="1"/>
  <c r="G7" i="2" s="1"/>
  <c r="O319" i="10"/>
  <c r="G318" i="10"/>
  <c r="Q317" i="10"/>
  <c r="Q312" i="10"/>
  <c r="J312" i="10"/>
  <c r="G309" i="10"/>
  <c r="P308" i="10"/>
  <c r="O308" i="10"/>
  <c r="I305" i="10"/>
  <c r="Q303" i="10"/>
  <c r="J303" i="10"/>
  <c r="O226" i="10"/>
  <c r="Q198" i="10"/>
  <c r="I178" i="10"/>
  <c r="Q153" i="10"/>
  <c r="G64" i="2" l="1"/>
  <c r="G25" i="2"/>
  <c r="O51" i="2"/>
  <c r="Q308" i="10"/>
  <c r="O310" i="10"/>
  <c r="I72" i="10" l="1"/>
  <c r="J67" i="10"/>
  <c r="Q67" i="10"/>
  <c r="Q69" i="10"/>
  <c r="Q70" i="10"/>
  <c r="Q71" i="10"/>
  <c r="Q72" i="10"/>
  <c r="O74" i="10"/>
  <c r="P74" i="10"/>
  <c r="G75" i="10"/>
  <c r="J78" i="10"/>
  <c r="Q78" i="10"/>
  <c r="O82" i="10"/>
  <c r="O84" i="10" s="1"/>
  <c r="G83" i="10"/>
  <c r="G40" i="10"/>
  <c r="O39" i="10"/>
  <c r="I36" i="10"/>
  <c r="J34" i="10"/>
  <c r="U7" i="10"/>
  <c r="H14" i="15"/>
  <c r="Q74" i="10" l="1"/>
  <c r="P82" i="10"/>
  <c r="Q82" i="10" s="1"/>
  <c r="O76" i="10"/>
  <c r="O41" i="10"/>
  <c r="P39" i="10"/>
  <c r="Q39" i="10" l="1"/>
  <c r="I24" i="18" l="1"/>
  <c r="I23" i="18"/>
  <c r="I22" i="18"/>
  <c r="I21" i="18"/>
  <c r="I20" i="18"/>
  <c r="I19" i="18"/>
  <c r="I18" i="18"/>
  <c r="I17" i="18"/>
  <c r="I16" i="18"/>
  <c r="G28" i="18"/>
  <c r="I17" i="17"/>
  <c r="I16" i="17"/>
  <c r="G28" i="17"/>
  <c r="I17" i="12"/>
  <c r="I16" i="12"/>
  <c r="I35" i="7" l="1"/>
  <c r="I34" i="7"/>
  <c r="I33" i="7"/>
  <c r="I32" i="7"/>
  <c r="I31" i="7"/>
  <c r="M23" i="5"/>
  <c r="J23" i="5"/>
  <c r="I23" i="5"/>
  <c r="M25" i="5"/>
  <c r="J25" i="5"/>
  <c r="I25" i="5"/>
  <c r="M24" i="5"/>
  <c r="J24" i="5"/>
  <c r="I24" i="5"/>
  <c r="S29" i="5"/>
  <c r="Q27" i="5"/>
  <c r="Q29" i="5" s="1"/>
  <c r="P206" i="10" l="1"/>
  <c r="Q186" i="10"/>
  <c r="P169" i="10"/>
  <c r="Q163" i="10"/>
  <c r="P137" i="10"/>
  <c r="I143" i="10"/>
  <c r="P18" i="10"/>
  <c r="Q13" i="10"/>
  <c r="G24" i="15" l="1"/>
  <c r="F24" i="15"/>
  <c r="D24" i="15"/>
  <c r="H27" i="15" s="1"/>
  <c r="C24" i="15"/>
  <c r="C27" i="15" s="1"/>
  <c r="H22" i="15"/>
  <c r="E22" i="15"/>
  <c r="I22" i="15" s="1"/>
  <c r="H21" i="15"/>
  <c r="E21" i="15"/>
  <c r="I21" i="15" s="1"/>
  <c r="H20" i="15"/>
  <c r="E20" i="15"/>
  <c r="I20" i="15" s="1"/>
  <c r="H19" i="15"/>
  <c r="E19" i="15"/>
  <c r="I19" i="15" s="1"/>
  <c r="H18" i="15"/>
  <c r="E18" i="15"/>
  <c r="H17" i="15"/>
  <c r="E17" i="15"/>
  <c r="I17" i="15" s="1"/>
  <c r="H16" i="15"/>
  <c r="E16" i="15"/>
  <c r="H15" i="15"/>
  <c r="E15" i="15"/>
  <c r="E14" i="15"/>
  <c r="I18" i="15" l="1"/>
  <c r="H24" i="15"/>
  <c r="H28" i="15" s="1"/>
  <c r="C28" i="15"/>
  <c r="I16" i="15"/>
  <c r="I15" i="15"/>
  <c r="I14" i="15"/>
  <c r="G25" i="8"/>
  <c r="I24" i="15" l="1"/>
  <c r="F29" i="15" s="1"/>
  <c r="G28" i="12"/>
  <c r="G31" i="11"/>
  <c r="F11" i="6" l="1"/>
  <c r="I22" i="7" l="1"/>
  <c r="F6" i="6"/>
  <c r="F8" i="6"/>
  <c r="F9" i="6"/>
  <c r="F10" i="6"/>
  <c r="I224" i="10" l="1"/>
  <c r="O237" i="10"/>
  <c r="G236" i="10"/>
  <c r="P235" i="10"/>
  <c r="Q235" i="10" s="1"/>
  <c r="Q230" i="10"/>
  <c r="J230" i="10"/>
  <c r="O228" i="10"/>
  <c r="G227" i="10"/>
  <c r="U226" i="10"/>
  <c r="U228" i="10" s="1"/>
  <c r="T226" i="10"/>
  <c r="T228" i="10" s="1"/>
  <c r="Q226" i="10"/>
  <c r="Q222" i="10"/>
  <c r="J222" i="10"/>
  <c r="Q210" i="10"/>
  <c r="G216" i="10"/>
  <c r="P215" i="10"/>
  <c r="J210" i="10"/>
  <c r="G207" i="10"/>
  <c r="U206" i="10"/>
  <c r="U208" i="10" s="1"/>
  <c r="T206" i="10"/>
  <c r="T208" i="10" s="1"/>
  <c r="J198" i="10"/>
  <c r="Q206" i="10" l="1"/>
  <c r="O208" i="10"/>
  <c r="Q215" i="10"/>
  <c r="O217" i="10"/>
  <c r="R25" i="1" l="1"/>
  <c r="P21" i="1" l="1"/>
  <c r="U182" i="10" l="1"/>
  <c r="U184" i="10" s="1"/>
  <c r="T182" i="10"/>
  <c r="T184" i="10" s="1"/>
  <c r="S12" i="5" l="1"/>
  <c r="Q9" i="5"/>
  <c r="Q12" i="5" s="1"/>
  <c r="I21" i="7" l="1"/>
  <c r="I20" i="7"/>
  <c r="I19" i="7"/>
  <c r="I18" i="7"/>
  <c r="I17" i="7"/>
  <c r="I16" i="7"/>
  <c r="I15" i="7"/>
  <c r="I14" i="7"/>
  <c r="I13" i="7"/>
  <c r="I12" i="7"/>
  <c r="I11" i="7"/>
  <c r="I10" i="7"/>
  <c r="I9" i="7"/>
  <c r="F5" i="6"/>
  <c r="G192" i="10" l="1"/>
  <c r="O191" i="10"/>
  <c r="P191" i="10" s="1"/>
  <c r="J186" i="10"/>
  <c r="P159" i="10"/>
  <c r="Q191" i="10" l="1"/>
  <c r="O193" i="10"/>
  <c r="I23" i="1"/>
  <c r="F23" i="1"/>
  <c r="I24" i="1"/>
  <c r="F24" i="1"/>
  <c r="J24" i="1" s="1"/>
  <c r="I22" i="1"/>
  <c r="F22" i="1"/>
  <c r="I21" i="1"/>
  <c r="F21" i="1"/>
  <c r="J21" i="1" s="1"/>
  <c r="I20" i="1"/>
  <c r="F20" i="1"/>
  <c r="I19" i="1"/>
  <c r="F19" i="1"/>
  <c r="J23" i="1" l="1"/>
  <c r="J19" i="1"/>
  <c r="J22" i="1"/>
  <c r="J20" i="1"/>
  <c r="I17" i="1" l="1"/>
  <c r="I18" i="1"/>
  <c r="F18" i="1"/>
  <c r="F17" i="1"/>
  <c r="J17" i="1" s="1"/>
  <c r="I16" i="1"/>
  <c r="F16" i="1"/>
  <c r="D25" i="1"/>
  <c r="H25" i="1"/>
  <c r="G25" i="1"/>
  <c r="E25" i="1"/>
  <c r="J16" i="1" l="1"/>
  <c r="J18" i="1"/>
  <c r="F25" i="1"/>
  <c r="I25" i="1"/>
  <c r="J25" i="1" l="1"/>
  <c r="P51" i="10" l="1"/>
  <c r="G183" i="10" l="1"/>
  <c r="Q176" i="10"/>
  <c r="J176" i="10"/>
  <c r="G104" i="10"/>
  <c r="O103" i="10"/>
  <c r="O105" i="10" s="1"/>
  <c r="J98" i="10"/>
  <c r="G95" i="10"/>
  <c r="O94" i="10"/>
  <c r="O96" i="10" s="1"/>
  <c r="J89" i="10"/>
  <c r="O184" i="10" l="1"/>
  <c r="P94" i="10"/>
  <c r="Q94" i="10" s="1"/>
  <c r="P103" i="10"/>
  <c r="Q103" i="10" s="1"/>
  <c r="J13" i="10" l="1"/>
  <c r="G170" i="10" l="1"/>
  <c r="O171" i="10"/>
  <c r="J163" i="10"/>
  <c r="G160" i="10"/>
  <c r="O159" i="10"/>
  <c r="J153" i="10"/>
  <c r="G147" i="10"/>
  <c r="O146" i="10"/>
  <c r="O148" i="10" s="1"/>
  <c r="Q141" i="10"/>
  <c r="J141" i="10"/>
  <c r="G138" i="10"/>
  <c r="O137" i="10"/>
  <c r="Q131" i="10"/>
  <c r="J131" i="10"/>
  <c r="G125" i="10"/>
  <c r="O124" i="10"/>
  <c r="Q119" i="10"/>
  <c r="J119" i="10"/>
  <c r="G116" i="10"/>
  <c r="O115" i="10"/>
  <c r="P115" i="10" s="1"/>
  <c r="I114" i="10"/>
  <c r="Q110" i="10"/>
  <c r="J110" i="10"/>
  <c r="G61" i="10"/>
  <c r="O60" i="10"/>
  <c r="O62" i="10" s="1"/>
  <c r="J55" i="10"/>
  <c r="G52" i="10"/>
  <c r="O51" i="10"/>
  <c r="I50" i="10"/>
  <c r="I48" i="10"/>
  <c r="Q46" i="10"/>
  <c r="J46" i="10"/>
  <c r="G31" i="10"/>
  <c r="O30" i="10"/>
  <c r="P30" i="10" s="1"/>
  <c r="I27" i="10"/>
  <c r="Q25" i="10"/>
  <c r="J25" i="10"/>
  <c r="G19" i="10"/>
  <c r="O18" i="10"/>
  <c r="H10" i="10"/>
  <c r="G10" i="10"/>
  <c r="O9" i="10"/>
  <c r="O11" i="10" s="1"/>
  <c r="J4" i="10"/>
  <c r="I4" i="10"/>
  <c r="Q51" i="10" l="1"/>
  <c r="O53" i="10"/>
  <c r="P60" i="10"/>
  <c r="Q60" i="10" s="1"/>
  <c r="Q137" i="10"/>
  <c r="O139" i="10"/>
  <c r="P146" i="10"/>
  <c r="Q146" i="10" s="1"/>
  <c r="Q169" i="10"/>
  <c r="I10" i="10"/>
  <c r="P10" i="10"/>
  <c r="P9" i="10"/>
  <c r="Q9" i="10" s="1"/>
  <c r="Q18" i="10"/>
  <c r="O20" i="10"/>
  <c r="Q30" i="10"/>
  <c r="O32" i="10"/>
  <c r="Q159" i="10"/>
  <c r="O161" i="10"/>
  <c r="Q124" i="10"/>
  <c r="O126" i="10"/>
  <c r="O117" i="10"/>
  <c r="Q115" i="10"/>
  <c r="P11" i="10" l="1"/>
  <c r="Q10" i="10"/>
  <c r="H13" i="10" s="1"/>
  <c r="I13" i="10" l="1"/>
  <c r="H19" i="10"/>
  <c r="P19" i="10" s="1"/>
  <c r="Q11" i="10"/>
  <c r="I19" i="10" l="1"/>
  <c r="Q19" i="10" s="1"/>
  <c r="Q20" i="10" s="1"/>
  <c r="H25" i="10" l="1"/>
  <c r="P20" i="10"/>
  <c r="I25" i="10" l="1"/>
  <c r="H31" i="10"/>
  <c r="I31" i="10" l="1"/>
  <c r="Q31" i="10" s="1"/>
  <c r="P31" i="10"/>
  <c r="Q32" i="10" l="1"/>
  <c r="H34" i="10"/>
  <c r="P32" i="10"/>
  <c r="H40" i="10" l="1"/>
  <c r="P40" i="10" s="1"/>
  <c r="P41" i="10" s="1"/>
  <c r="I34" i="10"/>
  <c r="I40" i="10" s="1"/>
  <c r="Q40" i="10" s="1"/>
  <c r="Q41" i="10" s="1"/>
  <c r="H46" i="10" l="1"/>
  <c r="H52" i="10" s="1"/>
  <c r="I46" i="10" l="1"/>
  <c r="I52" i="10" s="1"/>
  <c r="Q52" i="10" l="1"/>
  <c r="Q53" i="10" s="1"/>
  <c r="P52" i="10"/>
  <c r="P53" i="10" s="1"/>
  <c r="H55" i="10" l="1"/>
  <c r="H61" i="10" s="1"/>
  <c r="P61" i="10" s="1"/>
  <c r="H67" i="10" s="1"/>
  <c r="H75" i="10" l="1"/>
  <c r="I67" i="10"/>
  <c r="I55" i="10"/>
  <c r="I61" i="10" s="1"/>
  <c r="Q61" i="10" s="1"/>
  <c r="Q62" i="10" s="1"/>
  <c r="I75" i="10" l="1"/>
  <c r="Q75" i="10" s="1"/>
  <c r="Q76" i="10" s="1"/>
  <c r="P75" i="10"/>
  <c r="P62" i="10"/>
  <c r="H78" i="10" l="1"/>
  <c r="P76" i="10"/>
  <c r="H83" i="10" l="1"/>
  <c r="P83" i="10" s="1"/>
  <c r="I78" i="10"/>
  <c r="I83" i="10" s="1"/>
  <c r="Q83" i="10" s="1"/>
  <c r="Q84" i="10" s="1"/>
  <c r="P84" i="10" l="1"/>
  <c r="H89" i="10"/>
  <c r="H95" i="10" l="1"/>
  <c r="P95" i="10" s="1"/>
  <c r="I89" i="10"/>
  <c r="I95" i="10" s="1"/>
  <c r="Q95" i="10" s="1"/>
  <c r="Q96" i="10" s="1"/>
  <c r="H98" i="10" l="1"/>
  <c r="P96" i="10"/>
  <c r="H104" i="10" l="1"/>
  <c r="I98" i="10"/>
  <c r="P104" i="10" l="1"/>
  <c r="H110" i="10" s="1"/>
  <c r="I104" i="10"/>
  <c r="Q104" i="10" s="1"/>
  <c r="Q105" i="10" s="1"/>
  <c r="P105" i="10" l="1"/>
  <c r="I110" i="10" l="1"/>
  <c r="I116" i="10" s="1"/>
  <c r="Q116" i="10" s="1"/>
  <c r="Q117" i="10" s="1"/>
  <c r="H116" i="10"/>
  <c r="P116" i="10" s="1"/>
  <c r="P117" i="10" l="1"/>
  <c r="H119" i="10"/>
  <c r="H125" i="10" l="1"/>
  <c r="P125" i="10" s="1"/>
  <c r="I119" i="10"/>
  <c r="I125" i="10" l="1"/>
  <c r="Q125" i="10" s="1"/>
  <c r="Q126" i="10" s="1"/>
  <c r="H131" i="10" l="1"/>
  <c r="P126" i="10"/>
  <c r="H138" i="10" l="1"/>
  <c r="P138" i="10" s="1"/>
  <c r="I131" i="10"/>
  <c r="I138" i="10" s="1"/>
  <c r="Q138" i="10" s="1"/>
  <c r="Q139" i="10" s="1"/>
  <c r="P139" i="10" l="1"/>
  <c r="H141" i="10"/>
  <c r="I141" i="10" l="1"/>
  <c r="I147" i="10" s="1"/>
  <c r="Q147" i="10" s="1"/>
  <c r="Q148" i="10" s="1"/>
  <c r="H147" i="10"/>
  <c r="P147" i="10" s="1"/>
  <c r="P148" i="10" l="1"/>
  <c r="H153" i="10"/>
  <c r="I153" i="10" l="1"/>
  <c r="I160" i="10" s="1"/>
  <c r="Q160" i="10" s="1"/>
  <c r="Q161" i="10" s="1"/>
  <c r="H160" i="10"/>
  <c r="P160" i="10" s="1"/>
  <c r="H163" i="10" l="1"/>
  <c r="P161" i="10"/>
  <c r="H170" i="10" l="1"/>
  <c r="P170" i="10" s="1"/>
  <c r="H176" i="10" s="1"/>
  <c r="I163" i="10"/>
  <c r="I170" i="10" s="1"/>
  <c r="Q170" i="10" s="1"/>
  <c r="Q171" i="10" s="1"/>
  <c r="P171" i="10" l="1"/>
  <c r="I176" i="10" l="1"/>
  <c r="I183" i="10" s="1"/>
  <c r="Q183" i="10" s="1"/>
  <c r="Q184" i="10" s="1"/>
  <c r="H183" i="10"/>
  <c r="P183" i="10" s="1"/>
  <c r="H186" i="10" l="1"/>
  <c r="P184" i="10"/>
  <c r="I186" i="10" l="1"/>
  <c r="I192" i="10" s="1"/>
  <c r="Q192" i="10" s="1"/>
  <c r="Q193" i="10" s="1"/>
  <c r="H192" i="10"/>
  <c r="P192" i="10" s="1"/>
  <c r="P193" i="10" l="1"/>
  <c r="H198" i="10"/>
  <c r="H207" i="10" l="1"/>
  <c r="P207" i="10" s="1"/>
  <c r="I198" i="10"/>
  <c r="I207" i="10" s="1"/>
  <c r="Q207" i="10" s="1"/>
  <c r="Q208" i="10" s="1"/>
  <c r="H210" i="10" l="1"/>
  <c r="P208" i="10"/>
  <c r="I210" i="10" l="1"/>
  <c r="I216" i="10" s="1"/>
  <c r="Q216" i="10" s="1"/>
  <c r="Q217" i="10" s="1"/>
  <c r="H216" i="10"/>
  <c r="P216" i="10" s="1"/>
  <c r="H222" i="10" l="1"/>
  <c r="P217" i="10"/>
  <c r="H227" i="10" l="1"/>
  <c r="P227" i="10" s="1"/>
  <c r="I222" i="10"/>
  <c r="I227" i="10" s="1"/>
  <c r="Q227" i="10" s="1"/>
  <c r="Q228" i="10" s="1"/>
  <c r="P228" i="10" l="1"/>
  <c r="H230" i="10"/>
  <c r="H236" i="10" l="1"/>
  <c r="P236" i="10" s="1"/>
  <c r="I230" i="10"/>
  <c r="I236" i="10" s="1"/>
  <c r="Q236" i="10" s="1"/>
  <c r="Q237" i="10" s="1"/>
  <c r="H242" i="10" l="1"/>
  <c r="P237" i="10"/>
  <c r="H247" i="10" l="1"/>
  <c r="P247" i="10" s="1"/>
  <c r="I242" i="10"/>
  <c r="I247" i="10" s="1"/>
  <c r="Q247" i="10" s="1"/>
  <c r="Q248" i="10" s="1"/>
  <c r="H250" i="10" l="1"/>
  <c r="P248" i="10"/>
  <c r="H256" i="10" l="1"/>
  <c r="P256" i="10" s="1"/>
  <c r="I250" i="10"/>
  <c r="I256" i="10" s="1"/>
  <c r="Q256" i="10" s="1"/>
  <c r="Q257" i="10" s="1"/>
  <c r="P257" i="10" l="1"/>
  <c r="H262" i="10"/>
  <c r="I262" i="10" l="1"/>
  <c r="I268" i="10" s="1"/>
  <c r="Q268" i="10" s="1"/>
  <c r="Q269" i="10" s="1"/>
  <c r="H268" i="10"/>
  <c r="P268" i="10" s="1"/>
  <c r="H271" i="10" l="1"/>
  <c r="P269" i="10"/>
  <c r="H277" i="10" l="1"/>
  <c r="P277" i="10" s="1"/>
  <c r="I271" i="10"/>
  <c r="I277" i="10" s="1"/>
  <c r="Q277" i="10" s="1"/>
  <c r="Q278" i="10" s="1"/>
  <c r="P278" i="10" l="1"/>
  <c r="H283" i="10"/>
  <c r="H288" i="10" l="1"/>
  <c r="P288" i="10" s="1"/>
  <c r="I283" i="10"/>
  <c r="I288" i="10" s="1"/>
  <c r="Q288" i="10" s="1"/>
  <c r="Q289" i="10" s="1"/>
  <c r="H291" i="10" l="1"/>
  <c r="P289" i="10"/>
  <c r="I291" i="10" l="1"/>
  <c r="I297" i="10" s="1"/>
  <c r="Q297" i="10" s="1"/>
  <c r="Q298" i="10" s="1"/>
  <c r="H297" i="10"/>
  <c r="P297" i="10" s="1"/>
  <c r="P298" i="10" l="1"/>
  <c r="H303" i="10"/>
  <c r="H309" i="10" l="1"/>
  <c r="P309" i="10" s="1"/>
  <c r="I303" i="10"/>
  <c r="I309" i="10" s="1"/>
  <c r="Q309" i="10" s="1"/>
  <c r="Q310" i="10" s="1"/>
  <c r="H312" i="10" l="1"/>
  <c r="P310" i="10"/>
  <c r="H318" i="10" l="1"/>
  <c r="P318" i="10" s="1"/>
  <c r="P319" i="10" s="1"/>
  <c r="I312" i="10"/>
  <c r="I318" i="10" s="1"/>
  <c r="Q318" i="10" s="1"/>
  <c r="Q319" i="10" s="1"/>
  <c r="A22" i="10"/>
  <c r="A173" i="10"/>
  <c r="A219" i="10"/>
  <c r="A43" i="10"/>
  <c r="A86" i="10"/>
  <c r="A150" i="10"/>
  <c r="A64" i="10"/>
  <c r="A128" i="10"/>
  <c r="A300" i="10"/>
  <c r="A1" i="10"/>
  <c r="A195" i="10"/>
  <c r="A259" i="10"/>
  <c r="A107" i="10"/>
</calcChain>
</file>

<file path=xl/sharedStrings.xml><?xml version="1.0" encoding="utf-8"?>
<sst xmlns="http://schemas.openxmlformats.org/spreadsheetml/2006/main" count="1215" uniqueCount="362">
  <si>
    <t>XF/FG]\ GFD vo</t>
  </si>
  <si>
    <t>D]bIlXÙSGM ;CL l;ÞM</t>
  </si>
  <si>
    <t>ZSD s ~l5IFDF\ f</t>
  </si>
  <si>
    <t>VPG\</t>
  </si>
  <si>
    <t>U|Fg8GLlJUT</t>
  </si>
  <si>
    <t>X~VFTGL l;,S</t>
  </si>
  <si>
    <t>S], VFJS</t>
  </si>
  <si>
    <t>JØ" NZdIFG YI[, BR""</t>
  </si>
  <si>
    <t>5ZT SZ[, U|Fg8</t>
  </si>
  <si>
    <t>S], HFJS</t>
  </si>
  <si>
    <t>JØ" NZdIFG D/[, U|Fg8</t>
  </si>
  <si>
    <t>S],</t>
  </si>
  <si>
    <t>S,:8Z vo</t>
  </si>
  <si>
    <t>0FI; SM0vo</t>
  </si>
  <si>
    <t>TF,]SMvo</t>
  </si>
  <si>
    <t>S50J\H</t>
  </si>
  <si>
    <t>lH&lt;,Mvo</t>
  </si>
  <si>
    <t>B[0F</t>
  </si>
  <si>
    <t>jIFH J8FJ</t>
  </si>
  <si>
    <t>TFZLB</t>
  </si>
  <si>
    <r>
      <t>ZMHD[/</t>
    </r>
    <r>
      <rPr>
        <b/>
        <sz val="14"/>
        <color rgb="FF002060"/>
        <rFont val="Calibri"/>
        <family val="2"/>
        <scheme val="minor"/>
      </rPr>
      <t xml:space="preserve"> </t>
    </r>
    <r>
      <rPr>
        <b/>
        <sz val="14"/>
        <color rgb="FF002060"/>
        <rFont val="LMG-Arun"/>
      </rPr>
      <t>5FG]\</t>
    </r>
  </si>
  <si>
    <t>lJUT</t>
  </si>
  <si>
    <t>HDF</t>
  </si>
  <si>
    <t>pWFZ</t>
  </si>
  <si>
    <r>
      <t>HDF</t>
    </r>
    <r>
      <rPr>
        <b/>
        <sz val="14"/>
        <color rgb="FF002060"/>
        <rFont val="Calibri"/>
        <family val="2"/>
        <scheme val="minor"/>
      </rPr>
      <t xml:space="preserve"> </t>
    </r>
    <r>
      <rPr>
        <b/>
        <sz val="14"/>
        <color rgb="FF002060"/>
        <rFont val="LMG-Arun"/>
      </rPr>
      <t>AFSL</t>
    </r>
  </si>
  <si>
    <r>
      <t>pWFZ</t>
    </r>
    <r>
      <rPr>
        <b/>
        <sz val="14"/>
        <color rgb="FF002060"/>
        <rFont val="Calibri"/>
        <family val="2"/>
        <scheme val="minor"/>
      </rPr>
      <t xml:space="preserve"> </t>
    </r>
    <r>
      <rPr>
        <b/>
        <sz val="14"/>
        <color rgb="FF002060"/>
        <rFont val="LMG-Arun"/>
      </rPr>
      <t>AFSL</t>
    </r>
  </si>
  <si>
    <t>zL p30TL l;,S</t>
  </si>
  <si>
    <t>zL UF|g8 HDF</t>
  </si>
  <si>
    <t>A\W l;,S</t>
  </si>
  <si>
    <t>VFJSGL lJUT</t>
  </si>
  <si>
    <t>5CM\R G\\AZ VG[ TFZLB</t>
  </si>
  <si>
    <t>R[S G\ TFZLB 0LP0LPG\ TFZLB</t>
  </si>
  <si>
    <t>JUL"SZ6 ZHLPGM 5FG G\</t>
  </si>
  <si>
    <t>ZMS0</t>
  </si>
  <si>
    <t>A[gS</t>
  </si>
  <si>
    <t>S]], ZSD</t>
  </si>
  <si>
    <t>JFpRZ G\\AZ VG[ TFZLB</t>
  </si>
  <si>
    <t xml:space="preserve">R[S G\ TFZLB </t>
  </si>
  <si>
    <t>SM&gt; GF6F\SLI BR" SZ[, GYL</t>
  </si>
  <si>
    <t>zL A\W l;,S</t>
  </si>
  <si>
    <t>zL S],</t>
  </si>
  <si>
    <t>SMGF TZOYL D/L</t>
  </si>
  <si>
    <t>0L0LqR[S G\AZ   TFZLB</t>
  </si>
  <si>
    <t>A[\SG]\ GFD</t>
  </si>
  <si>
    <t>ZLDFS";</t>
  </si>
  <si>
    <t>ZSD</t>
  </si>
  <si>
    <t>A[\SDF\ HDF SIF"GL lJUT</t>
  </si>
  <si>
    <t>U|Fg8 HDF\</t>
  </si>
  <si>
    <t xml:space="preserve">A[gS £FZF        </t>
  </si>
  <si>
    <t>SSA</t>
  </si>
  <si>
    <t xml:space="preserve">VMG,F&gt;G          </t>
  </si>
  <si>
    <t>R[S GM ÌDF\S VG[ TFZLB</t>
  </si>
  <si>
    <t>R[SGL ZSD</t>
  </si>
  <si>
    <t>R[S J8FjIF\ TFZLB</t>
  </si>
  <si>
    <t>X[ZM</t>
  </si>
  <si>
    <t>D]PlXPGL ;CL ALPVFZP;L4 ;LVFZP;L    GL ;CL</t>
  </si>
  <si>
    <t>lA,GL lJUT</t>
  </si>
  <si>
    <t>S5FT</t>
  </si>
  <si>
    <t>HyYM</t>
  </si>
  <si>
    <r>
      <t>JFpRZ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G\AZ</t>
    </r>
  </si>
  <si>
    <r>
      <t>AL,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G\AZ</t>
    </r>
  </si>
  <si>
    <r>
      <t>AL,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lJUT</t>
    </r>
  </si>
  <si>
    <r>
      <t>AL,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SMGF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TZOYL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D/[,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K[</t>
    </r>
  </si>
  <si>
    <r>
      <t>AL,GL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ZSD</t>
    </r>
  </si>
  <si>
    <r>
      <t>R]SJJFGL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YTL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RMbBL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ZSD</t>
    </r>
  </si>
  <si>
    <r>
      <t>D\H]Z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SZGFZGL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;CL</t>
    </r>
  </si>
  <si>
    <r>
      <t>AL,GL</t>
    </r>
    <r>
      <rPr>
        <sz val="14"/>
        <color rgb="FF000066"/>
        <rFont val="Calibri"/>
        <family val="2"/>
        <scheme val="minor"/>
      </rPr>
      <t xml:space="preserve"> </t>
    </r>
    <r>
      <rPr>
        <sz val="14"/>
        <color rgb="FF000066"/>
        <rFont val="LMG-Arun"/>
      </rPr>
      <t>TFZLB</t>
    </r>
  </si>
  <si>
    <t>H[GF TZO[6DF\ R[S ,bIM T[G]\ GFD TYF S&gt; AFAT[ R[S ,bIM T[</t>
  </si>
  <si>
    <t>lJnFYL" A]S 0L5M V[g0 h[ZMÙ</t>
  </si>
  <si>
    <t>HFJS GLlJUT</t>
  </si>
  <si>
    <t>zL BR"BFT[</t>
  </si>
  <si>
    <t>zL jIFHGF GF6F\ HDF\</t>
  </si>
  <si>
    <t>zL jIFHGF GF6F\\ HDF</t>
  </si>
  <si>
    <r>
      <t>U|Fg8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OF/J6L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VFN[X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G\AZ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TFZLB</t>
    </r>
  </si>
  <si>
    <r>
      <t>R[Sq0=FO8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G\AZ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TFZLB A[\SG]\ GFD</t>
    </r>
  </si>
  <si>
    <r>
      <t>SMG[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OF/J[,</t>
    </r>
  </si>
  <si>
    <r>
      <t>BR[",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ZSD</t>
    </r>
  </si>
  <si>
    <r>
      <t>ART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ZC[,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U|Fg8</t>
    </r>
  </si>
  <si>
    <r>
      <t>SIF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SFD[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D?IM</t>
    </r>
  </si>
  <si>
    <r>
      <t>HDF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SIF"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TFZLB</t>
    </r>
  </si>
  <si>
    <r>
      <t>HDF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YIF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rgb="FF7030A0"/>
        <rFont val="LMG-Arun"/>
      </rPr>
      <t>TFZLB</t>
    </r>
  </si>
  <si>
    <t>JF,L ;\D[,G U|Fg8 HDF</t>
  </si>
  <si>
    <t>5|J[XMt;J SL8 JFPD]HA</t>
  </si>
  <si>
    <t>O:8 V[&gt;0 AMS; SL8 JFPD]HA</t>
  </si>
  <si>
    <t>:JrKTF ;FDFG VG[ ;OF&gt;SFD 5[8 R]SjIF\ JFPD]HA</t>
  </si>
  <si>
    <t>JF,L ;\D[,G ;ZEZFBR" 58[R]SjIF</t>
  </si>
  <si>
    <t xml:space="preserve">VMG,F&gt;G        </t>
  </si>
  <si>
    <t>;OF&gt;SFD DH}ZL</t>
  </si>
  <si>
    <t>O:8 V[&gt;0 AMS; U|Fg8 HDF</t>
  </si>
  <si>
    <t>:JrKTF U|Fg8 HDF</t>
  </si>
  <si>
    <t>XF/F :JrKTF U|Fg8 HDF</t>
  </si>
  <si>
    <t>AF/D[/M U|Fg8</t>
  </si>
  <si>
    <t>UM5F, S8,ZL :8M;"</t>
  </si>
  <si>
    <t>5|7F D8ZLI&lt;; SL8 JFPD]HA</t>
  </si>
  <si>
    <t>AF/D[/M D8ZLI&lt;;</t>
  </si>
  <si>
    <t>5|J[XMt;J U|Fg8 HDF</t>
  </si>
  <si>
    <t>XF/F :JrKTF  U|Fg8</t>
  </si>
  <si>
    <t>JF,L;\D[,G U|Fg8</t>
  </si>
  <si>
    <t>&gt;g8ZG[8 U|Fg8</t>
  </si>
  <si>
    <t>5|7F U|Fg8</t>
  </si>
  <si>
    <t>O:8V[&gt;0 AMS; U|Fg8</t>
  </si>
  <si>
    <t>D]lXV[ SZ[, 5NZ BR"GF  GF6F\ 5ZT ,LWF</t>
  </si>
  <si>
    <t>5|J[;Mt;J U|Fg8</t>
  </si>
  <si>
    <t>l;lJ, U|Fg8</t>
  </si>
  <si>
    <t>UM5F, S8,ZL :8M;"G[ lA, D]HA</t>
  </si>
  <si>
    <t>l;lJ, U|Fg8 HDF</t>
  </si>
  <si>
    <t xml:space="preserve"> 5|7F U|Fg8 HDF</t>
  </si>
  <si>
    <t>JFPG\ q lA, G\AZ</t>
  </si>
  <si>
    <t xml:space="preserve">:JrKTF ;FDFG </t>
  </si>
  <si>
    <t>O:8 V[&gt;0 AMS; SL8</t>
  </si>
  <si>
    <t>5|7F D8ZLI&lt;;</t>
  </si>
  <si>
    <r>
      <t xml:space="preserve">BOB </t>
    </r>
    <r>
      <rPr>
        <sz val="12"/>
        <color theme="1"/>
        <rFont val="LMG-Arun"/>
      </rPr>
      <t>S50J\H</t>
    </r>
  </si>
  <si>
    <t>SM;DP5|FPXF/F</t>
  </si>
  <si>
    <t>VFTZ;]\AF</t>
  </si>
  <si>
    <t>D]PlX §FZF GF6F\ p5F0L CFY 5Z ,LWF</t>
  </si>
  <si>
    <t>;eI ;lRJ §FZF :JrKTF U|Fg8GF GF6F\ p5F0IF</t>
  </si>
  <si>
    <t>21/03/2024</t>
  </si>
  <si>
    <t>AF/D[/M U|Fg8 HDF</t>
  </si>
  <si>
    <r>
      <t xml:space="preserve">BOB </t>
    </r>
    <r>
      <rPr>
        <b/>
        <sz val="12"/>
        <color theme="1"/>
        <rFont val="LMG-Arun"/>
      </rPr>
      <t>S50J\H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LMG-Arun"/>
      </rPr>
      <t>jIFH</t>
    </r>
  </si>
  <si>
    <t>28/03/2024</t>
  </si>
  <si>
    <r>
      <t>jIFH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 xml:space="preserve">HDF   </t>
    </r>
  </si>
  <si>
    <r>
      <t>jIFH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 xml:space="preserve">HDF    </t>
    </r>
  </si>
  <si>
    <t xml:space="preserve">XF/F :JrKTF D8ZLI&lt;; VG[ ;OF&gt;SFD </t>
  </si>
  <si>
    <t xml:space="preserve">5|J[XMt;J SL8 </t>
  </si>
  <si>
    <r>
      <rPr>
        <b/>
        <sz val="12"/>
        <color rgb="FF002060"/>
        <rFont val="Microsoft Himalaya"/>
      </rPr>
      <t>31/03/2024</t>
    </r>
    <r>
      <rPr>
        <b/>
        <sz val="14"/>
        <color rgb="FF002060"/>
        <rFont val="Microsoft Himalaya"/>
      </rPr>
      <t xml:space="preserve"> </t>
    </r>
    <r>
      <rPr>
        <b/>
        <sz val="14"/>
        <color rgb="FF002060"/>
        <rFont val="LMG-Arun"/>
      </rPr>
      <t>GL A\W l;,S</t>
    </r>
  </si>
  <si>
    <t>!q!</t>
  </si>
  <si>
    <t>!qZ</t>
  </si>
  <si>
    <t>Zq!</t>
  </si>
  <si>
    <t xml:space="preserve">JF,L;\D[,G ;ZEZF BR" </t>
  </si>
  <si>
    <t>&amp;q!</t>
  </si>
  <si>
    <t>13/09/2023</t>
  </si>
  <si>
    <t>;J"lXÙF VlEIFG lDXG B[0F</t>
  </si>
  <si>
    <t>XF/FG\] GFD vo</t>
  </si>
  <si>
    <t>JFpRZ G\AZvo</t>
  </si>
  <si>
    <t>VFRFI"zLG]\ GFD vo</t>
  </si>
  <si>
    <t>TFZLBvo</t>
  </si>
  <si>
    <t>S], ZSD</t>
  </si>
  <si>
    <t>ÌD</t>
  </si>
  <si>
    <t>lA,    G\AZ</t>
  </si>
  <si>
    <r>
      <t>AL,</t>
    </r>
    <r>
      <rPr>
        <sz val="14"/>
        <color rgb="FF7030A0"/>
        <rFont val="Calibri"/>
        <family val="2"/>
        <scheme val="minor"/>
      </rPr>
      <t xml:space="preserve"> </t>
    </r>
    <r>
      <rPr>
        <sz val="14"/>
        <color rgb="FF7030A0"/>
        <rFont val="LMG-Arun"/>
      </rPr>
      <t>lJUT</t>
    </r>
  </si>
  <si>
    <r>
      <t>AL,</t>
    </r>
    <r>
      <rPr>
        <sz val="14"/>
        <color rgb="FF7030A0"/>
        <rFont val="Calibri"/>
        <family val="2"/>
        <scheme val="minor"/>
      </rPr>
      <t xml:space="preserve"> </t>
    </r>
    <r>
      <rPr>
        <sz val="14"/>
        <color rgb="FF7030A0"/>
        <rFont val="LMG-Arun"/>
      </rPr>
      <t>SMGF</t>
    </r>
    <r>
      <rPr>
        <sz val="14"/>
        <color rgb="FF7030A0"/>
        <rFont val="Calibri"/>
        <family val="2"/>
        <scheme val="minor"/>
      </rPr>
      <t xml:space="preserve"> </t>
    </r>
    <r>
      <rPr>
        <sz val="14"/>
        <color rgb="FF7030A0"/>
        <rFont val="LMG-Arun"/>
      </rPr>
      <t>TZOYL</t>
    </r>
    <r>
      <rPr>
        <sz val="14"/>
        <color rgb="FF7030A0"/>
        <rFont val="Calibri"/>
        <family val="2"/>
        <scheme val="minor"/>
      </rPr>
      <t xml:space="preserve"> </t>
    </r>
    <r>
      <rPr>
        <sz val="14"/>
        <color rgb="FF7030A0"/>
        <rFont val="LMG-Arun"/>
      </rPr>
      <t>D/[,</t>
    </r>
    <r>
      <rPr>
        <sz val="14"/>
        <color rgb="FF7030A0"/>
        <rFont val="Calibri"/>
        <family val="2"/>
        <scheme val="minor"/>
      </rPr>
      <t xml:space="preserve"> </t>
    </r>
    <r>
      <rPr>
        <sz val="14"/>
        <color rgb="FF7030A0"/>
        <rFont val="LMG-Arun"/>
      </rPr>
      <t>K[</t>
    </r>
  </si>
  <si>
    <t>lA,GL ZSD</t>
  </si>
  <si>
    <t>lZDFS;"</t>
  </si>
  <si>
    <t>;J" lXÙF VlEIFG lDXG B[0F</t>
  </si>
  <si>
    <t>SM;D</t>
  </si>
  <si>
    <t>lA5LGS]DFZ ;]Z[XR\§ ZFJ,</t>
  </si>
  <si>
    <t>30/3/2024</t>
  </si>
  <si>
    <r>
      <t xml:space="preserve">;DU| lXÙF B[0F v </t>
    </r>
    <r>
      <rPr>
        <b/>
        <sz val="22"/>
        <color rgb="FF7030A0"/>
        <rFont val="Angsana New"/>
        <family val="1"/>
      </rPr>
      <t>SMCE</t>
    </r>
    <r>
      <rPr>
        <b/>
        <sz val="20"/>
        <color rgb="FF7030A0"/>
        <rFont val="Angsana New"/>
        <family val="1"/>
      </rPr>
      <t xml:space="preserve"> </t>
    </r>
  </si>
  <si>
    <t>;J" lXÙF VlEIFG v B[0F</t>
  </si>
  <si>
    <t>5lZlXQ8 vo !_</t>
  </si>
  <si>
    <r>
      <t xml:space="preserve">BOB  </t>
    </r>
    <r>
      <rPr>
        <b/>
        <sz val="16"/>
        <color theme="1"/>
        <rFont val="LMG-Arun"/>
      </rPr>
      <t>BFTF G\AZ vo</t>
    </r>
  </si>
  <si>
    <t>X~GL                 l;,S</t>
  </si>
  <si>
    <t>JØ"     NZdIFG  D/[, U|Fg8</t>
  </si>
  <si>
    <t>BR"</t>
  </si>
  <si>
    <t>S],            BR"</t>
  </si>
  <si>
    <t>jIFHqJ8FJ</t>
  </si>
  <si>
    <t>5|J[XMt;J U|Fg8</t>
  </si>
  <si>
    <r>
      <t xml:space="preserve">;DU| lXÙF B[0F v </t>
    </r>
    <r>
      <rPr>
        <b/>
        <sz val="20"/>
        <color rgb="FF7030A0"/>
        <rFont val="Angsana New"/>
        <family val="1"/>
      </rPr>
      <t>SMCE</t>
    </r>
  </si>
  <si>
    <t>5lZlXQ8 vo )</t>
  </si>
  <si>
    <t>A[\S ;FY[ D[/J6]\  v  ZLSg;Ll,V[XG</t>
  </si>
  <si>
    <t>! s´f</t>
  </si>
  <si>
    <t>!</t>
  </si>
  <si>
    <r>
      <t>R[S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&gt;:I]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YIF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CMI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5Z\T]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J8FJ[,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G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CMI</t>
    </r>
  </si>
  <si>
    <t>Z</t>
  </si>
  <si>
    <r>
      <t>A[\S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DF\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HDF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GM\W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Y&gt;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CMI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5Z\T]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ZMHD[/DF\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NXF"jI]\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G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CMI</t>
    </r>
  </si>
  <si>
    <t xml:space="preserve">                                        S],</t>
  </si>
  <si>
    <t>svf</t>
  </si>
  <si>
    <t>AFN SZJ]\</t>
  </si>
  <si>
    <r>
      <t>A[\SDF\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DMS,JFDF\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VFJ[,L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>ZMS0 S[ R[S A[\S BFTFDF\ HDF G Y&gt; CMI</t>
    </r>
  </si>
  <si>
    <t>A[\S BFTFDF\ pWFZJFDF\ VFJ[, RFlH"; 5Z\T] T[ ZMHD[/DF\ p&lt;,[B YI[, G CMI</t>
  </si>
  <si>
    <t xml:space="preserve">                                              S],</t>
  </si>
  <si>
    <t>zL :JrKTF U|Fg8 HDF\</t>
  </si>
  <si>
    <r>
      <t xml:space="preserve">SMCE </t>
    </r>
    <r>
      <rPr>
        <sz val="12"/>
        <color theme="1"/>
        <rFont val="LMG-Arun"/>
      </rPr>
      <t>S[;Z5]ZF</t>
    </r>
  </si>
  <si>
    <t>H{lDG :8M;"</t>
  </si>
  <si>
    <t xml:space="preserve"> HI\lTEF&gt;PV[;PClZHG</t>
  </si>
  <si>
    <t>ZqZ</t>
  </si>
  <si>
    <t>Zq#</t>
  </si>
  <si>
    <t>Zq$</t>
  </si>
  <si>
    <t>Zq5</t>
  </si>
  <si>
    <t>Zq&amp;</t>
  </si>
  <si>
    <t>Zq*</t>
  </si>
  <si>
    <t>Zq(</t>
  </si>
  <si>
    <t>Zq)</t>
  </si>
  <si>
    <t>lÌQ6F GMJ[&lt;8L :8MZ</t>
  </si>
  <si>
    <t>VFG\NLA[G GZl;\CEF&gt; 5ZDFZ</t>
  </si>
  <si>
    <t>23/06/2023</t>
  </si>
  <si>
    <t>24/06/2023</t>
  </si>
  <si>
    <t>15/08/2023</t>
  </si>
  <si>
    <t>29/08/2023</t>
  </si>
  <si>
    <t>zL lJGFIS D[0LS, :8M;"</t>
  </si>
  <si>
    <t>zL lJnFYL" 8=[0;"</t>
  </si>
  <si>
    <t>S[;Z5]ZF</t>
  </si>
  <si>
    <t>Z[BFA[G HX]EF&gt; JF/\N</t>
  </si>
  <si>
    <r>
      <t xml:space="preserve">BFTFG]\ GFD vo  </t>
    </r>
    <r>
      <rPr>
        <sz val="16"/>
        <color rgb="FFFF0066"/>
        <rFont val="LMG-Arun"/>
      </rPr>
      <t xml:space="preserve">5|J[XMt;J U|Fg8 </t>
    </r>
    <r>
      <rPr>
        <sz val="16"/>
        <color rgb="FFAE0258"/>
        <rFont val="LMG-Arun"/>
      </rPr>
      <t xml:space="preserve"> </t>
    </r>
    <r>
      <rPr>
        <sz val="16"/>
        <color theme="1"/>
        <rFont val="LMG-Arun"/>
      </rPr>
      <t xml:space="preserve">                                        JØ" vo  </t>
    </r>
    <r>
      <rPr>
        <sz val="16"/>
        <color rgb="FF7030A0"/>
        <rFont val="LMG-Arun"/>
      </rPr>
      <t>Z_Z$ v Z_Z5</t>
    </r>
  </si>
  <si>
    <r>
      <t xml:space="preserve"> BFTFG]\ GFD vo  </t>
    </r>
    <r>
      <rPr>
        <sz val="16"/>
        <color rgb="FFAE0258"/>
        <rFont val="LMG-Arun"/>
      </rPr>
      <t xml:space="preserve">jIFHqJ8FJ </t>
    </r>
    <r>
      <rPr>
        <sz val="16"/>
        <color rgb="FFAE0258"/>
        <rFont val="Calibri Light"/>
        <family val="1"/>
        <scheme val="major"/>
      </rPr>
      <t xml:space="preserve"> </t>
    </r>
    <r>
      <rPr>
        <sz val="16"/>
        <color rgb="FFAE0258"/>
        <rFont val="LMG-Arun"/>
      </rPr>
      <t xml:space="preserve"> </t>
    </r>
    <r>
      <rPr>
        <sz val="16"/>
        <color theme="1"/>
        <rFont val="LMG-Arun"/>
      </rPr>
      <t xml:space="preserve">                                      JØ" vo  </t>
    </r>
    <r>
      <rPr>
        <sz val="16"/>
        <color rgb="FF7030A0"/>
        <rFont val="LMG-Arun"/>
      </rPr>
      <t>Z_Z$ v Z_Z5</t>
    </r>
  </si>
  <si>
    <r>
      <t xml:space="preserve"> BFTFG]\ GFD vo </t>
    </r>
    <r>
      <rPr>
        <sz val="16"/>
        <color rgb="FFAE0258"/>
        <rFont val="LMG-Arun"/>
      </rPr>
      <t xml:space="preserve"> AF/D[/M U|Fg8  </t>
    </r>
    <r>
      <rPr>
        <sz val="16"/>
        <color theme="1"/>
        <rFont val="LMG-Arun"/>
      </rPr>
      <t xml:space="preserve">                                   JØ" vo  </t>
    </r>
    <r>
      <rPr>
        <sz val="16"/>
        <color rgb="FF7030A0"/>
        <rFont val="LMG-Arun"/>
      </rPr>
      <t>Z_Z$ v Z_Z5</t>
    </r>
  </si>
  <si>
    <r>
      <t xml:space="preserve"> BFTFG]\ GFD vo </t>
    </r>
    <r>
      <rPr>
        <sz val="16"/>
        <color rgb="FFAE0258"/>
        <rFont val="LMG-Arun"/>
      </rPr>
      <t xml:space="preserve">    JF,L ;\D[,G U|Fg8                             </t>
    </r>
    <r>
      <rPr>
        <sz val="16"/>
        <color theme="1"/>
        <rFont val="LMG-Arun"/>
      </rPr>
      <t xml:space="preserve">  JØ" vo  </t>
    </r>
    <r>
      <rPr>
        <sz val="16"/>
        <color rgb="FF7030A0"/>
        <rFont val="LMG-Arun"/>
      </rPr>
      <t>Z_Z$ v Z_Z5</t>
    </r>
  </si>
  <si>
    <r>
      <t xml:space="preserve"> BFTFG]\ GFD vo  </t>
    </r>
    <r>
      <rPr>
        <sz val="16"/>
        <color rgb="FFAE0258"/>
        <rFont val="LMG-Arun"/>
      </rPr>
      <t>&gt;g8ZG[8 U|Fg8</t>
    </r>
    <r>
      <rPr>
        <sz val="16"/>
        <color rgb="FFAE0258"/>
        <rFont val="Calibri Light"/>
        <family val="1"/>
        <scheme val="major"/>
      </rPr>
      <t xml:space="preserve"> </t>
    </r>
    <r>
      <rPr>
        <sz val="16"/>
        <color rgb="FFAE0258"/>
        <rFont val="LMG-Arun"/>
      </rPr>
      <t xml:space="preserve"> </t>
    </r>
    <r>
      <rPr>
        <sz val="16"/>
        <color theme="1"/>
        <rFont val="LMG-Arun"/>
      </rPr>
      <t xml:space="preserve">                                     JØ" vo </t>
    </r>
    <r>
      <rPr>
        <sz val="16"/>
        <color rgb="FF7030A0"/>
        <rFont val="LMG-Arun"/>
      </rPr>
      <t xml:space="preserve"> Z_Z$ v Z_Z5</t>
    </r>
  </si>
  <si>
    <t>JØ" vo Z_Z$ q Z_Z5</t>
  </si>
  <si>
    <t>02/04/2024       TO 30/04/2024</t>
  </si>
  <si>
    <t>18/05/2024</t>
  </si>
  <si>
    <t xml:space="preserve">AF/D[/M U|Fg8 HDF\ </t>
  </si>
  <si>
    <t>16/08/2024</t>
  </si>
  <si>
    <t xml:space="preserve">JF,L;\D[,G U|Fg8 HDF\ </t>
  </si>
  <si>
    <t>13/09/2024</t>
  </si>
  <si>
    <t>22/10/2024</t>
  </si>
  <si>
    <t>16/11/2024</t>
  </si>
  <si>
    <t>#!q_#qZ5    GL                  A\W l;,S</t>
  </si>
  <si>
    <t>ZMHD[/ 5|DF6[ TFv #!q#qZ_Z5 GL l;,S pD[ZJL</t>
  </si>
  <si>
    <r>
      <t>5F;A]S</t>
    </r>
    <r>
      <rPr>
        <sz val="16"/>
        <color rgb="FF002060"/>
        <rFont val="Calibri"/>
        <family val="2"/>
        <scheme val="minor"/>
      </rPr>
      <t xml:space="preserve"> </t>
    </r>
    <r>
      <rPr>
        <sz val="16"/>
        <color rgb="FF002060"/>
        <rFont val="LMG-Arun"/>
      </rPr>
      <t>q</t>
    </r>
    <r>
      <rPr>
        <sz val="16"/>
        <color rgb="FF002060"/>
        <rFont val="Calibri"/>
        <family val="2"/>
        <scheme val="minor"/>
      </rPr>
      <t xml:space="preserve"> </t>
    </r>
    <r>
      <rPr>
        <sz val="16"/>
        <color rgb="FF002060"/>
        <rFont val="LMG-Arun"/>
      </rPr>
      <t>A[\S</t>
    </r>
    <r>
      <rPr>
        <sz val="16"/>
        <color rgb="FF002060"/>
        <rFont val="Calibri"/>
        <family val="2"/>
        <scheme val="minor"/>
      </rPr>
      <t xml:space="preserve"> </t>
    </r>
    <r>
      <rPr>
        <sz val="16"/>
        <color rgb="FF002060"/>
        <rFont val="LMG-Arun"/>
      </rPr>
      <t>:8[8D[g8</t>
    </r>
    <r>
      <rPr>
        <sz val="16"/>
        <color rgb="FF002060"/>
        <rFont val="Calibri"/>
        <family val="2"/>
        <scheme val="minor"/>
      </rPr>
      <t xml:space="preserve"> </t>
    </r>
    <r>
      <rPr>
        <sz val="16"/>
        <color rgb="FF002060"/>
        <rFont val="LMG-Arun"/>
      </rPr>
      <t>5|DF6[</t>
    </r>
    <r>
      <rPr>
        <sz val="16"/>
        <color rgb="FF002060"/>
        <rFont val="Calibri"/>
        <family val="2"/>
        <scheme val="minor"/>
      </rPr>
      <t xml:space="preserve">                     </t>
    </r>
    <r>
      <rPr>
        <sz val="16"/>
        <color rgb="FF002060"/>
        <rFont val="LMG-Arun"/>
      </rPr>
      <t xml:space="preserve">TF vo #!q_#qZ_Z5 </t>
    </r>
    <r>
      <rPr>
        <sz val="16"/>
        <color rgb="FF002060"/>
        <rFont val="Calibri"/>
        <family val="2"/>
      </rPr>
      <t xml:space="preserve"> </t>
    </r>
    <r>
      <rPr>
        <sz val="16"/>
        <color rgb="FF002060"/>
        <rFont val="LMG-Arun"/>
      </rPr>
      <t>l;,S</t>
    </r>
  </si>
  <si>
    <t>19/05/2024   TO   31/05/2024</t>
  </si>
  <si>
    <t>1/3 05/03/2024</t>
  </si>
  <si>
    <t>;eI ;lRJ §FZF JF,L ;\D[,G U|Fg8GF GF6F\ p5F0IF</t>
  </si>
  <si>
    <t xml:space="preserve">  AF/D[/M U|Fg8 DF\YL R[SYL GF6F\ R]SjIFP</t>
  </si>
  <si>
    <t>5|7F U|Fg8 HDF</t>
  </si>
  <si>
    <t>01/10/2024   TO   21/10/2024</t>
  </si>
  <si>
    <t>24/12/2024</t>
  </si>
  <si>
    <t>&gt;g8ZG[8 U|Fg8 HDF</t>
  </si>
  <si>
    <t>zL jIFHGF GF6F\ HDF</t>
  </si>
  <si>
    <t>26/03/2025</t>
  </si>
  <si>
    <t>5|J[;Mt;J U|Fg8 HDF</t>
  </si>
  <si>
    <t>29/03/2025</t>
  </si>
  <si>
    <t>30/03/2025</t>
  </si>
  <si>
    <t xml:space="preserve"> :JrKTF U|Fg8 HDF</t>
  </si>
  <si>
    <r>
      <rPr>
        <sz val="20"/>
        <color theme="0"/>
        <rFont val="LMG-Arun"/>
      </rPr>
      <t>;FDFgI s HGZ, f BFTFJCL</t>
    </r>
    <r>
      <rPr>
        <sz val="11"/>
        <color theme="0"/>
        <rFont val="LMG-Arun"/>
      </rPr>
      <t xml:space="preserve"> </t>
    </r>
  </si>
  <si>
    <t>31/03/2025</t>
  </si>
  <si>
    <t>&gt;g8ZG[8 RFH" JFPD]HA</t>
  </si>
  <si>
    <t>AF/D[/M D8ZLI&lt;;GF R]SjIFPJFPD]</t>
  </si>
  <si>
    <r>
      <t xml:space="preserve">          BFTFG]\ GFD vo  </t>
    </r>
    <r>
      <rPr>
        <sz val="16"/>
        <color rgb="FFFF0066"/>
        <rFont val="LMG-Arun"/>
      </rPr>
      <t xml:space="preserve">O:8 V[&gt;0 AMS; U|Fg8  </t>
    </r>
    <r>
      <rPr>
        <sz val="16"/>
        <color theme="1"/>
        <rFont val="LMG-Arun"/>
      </rPr>
      <t xml:space="preserve">                   JØ" vo  </t>
    </r>
    <r>
      <rPr>
        <sz val="16"/>
        <color rgb="FF7030A0"/>
        <rFont val="LMG-Arun"/>
      </rPr>
      <t>Z_Z$ v Z_Z5</t>
    </r>
  </si>
  <si>
    <r>
      <t xml:space="preserve"> BFTFG]\ GFD vo </t>
    </r>
    <r>
      <rPr>
        <sz val="16"/>
        <color rgb="FFFF0066"/>
        <rFont val="LMG-Arun"/>
      </rPr>
      <t xml:space="preserve"> 5|7F U|Fg8   </t>
    </r>
    <r>
      <rPr>
        <sz val="16"/>
        <color rgb="FFAE0258"/>
        <rFont val="Calibri Light"/>
        <family val="1"/>
        <scheme val="major"/>
      </rPr>
      <t xml:space="preserve"> </t>
    </r>
    <r>
      <rPr>
        <sz val="16"/>
        <color rgb="FFAE0258"/>
        <rFont val="LMG-Arun"/>
      </rPr>
      <t xml:space="preserve"> </t>
    </r>
    <r>
      <rPr>
        <sz val="16"/>
        <color theme="1"/>
        <rFont val="LMG-Arun"/>
      </rPr>
      <t xml:space="preserve">               JØ" vo  </t>
    </r>
    <r>
      <rPr>
        <sz val="16"/>
        <color rgb="FF7030A0"/>
        <rFont val="LMG-Arun"/>
      </rPr>
      <t>Z_Z$ v Z_Z5</t>
    </r>
  </si>
  <si>
    <r>
      <t xml:space="preserve"> BFTFG]\ GFD vo  </t>
    </r>
    <r>
      <rPr>
        <sz val="16"/>
        <color rgb="FFFF0066"/>
        <rFont val="LMG-Arun"/>
      </rPr>
      <t>XF/F :JrKTF U|Fg8</t>
    </r>
    <r>
      <rPr>
        <sz val="16"/>
        <color rgb="FFAE0258"/>
        <rFont val="LMG-Arun"/>
      </rPr>
      <t xml:space="preserve"> </t>
    </r>
    <r>
      <rPr>
        <sz val="16"/>
        <color theme="1"/>
        <rFont val="LMG-Arun"/>
      </rPr>
      <t xml:space="preserve">                            JØ" vo  </t>
    </r>
    <r>
      <rPr>
        <sz val="16"/>
        <color rgb="FF7030A0"/>
        <rFont val="LMG-Arun"/>
      </rPr>
      <t>Z_Z$ v Z_Z5</t>
    </r>
  </si>
  <si>
    <r>
      <t xml:space="preserve"> BFTFG]\ GFD vo </t>
    </r>
    <r>
      <rPr>
        <sz val="16"/>
        <color rgb="FFFF0066"/>
        <rFont val="LMG-Arun"/>
      </rPr>
      <t xml:space="preserve">  </t>
    </r>
    <r>
      <rPr>
        <sz val="16"/>
        <color theme="1"/>
        <rFont val="LMG-Arun"/>
      </rPr>
      <t xml:space="preserve">                                                               JØ" vo </t>
    </r>
    <r>
      <rPr>
        <sz val="16"/>
        <color rgb="FF7030A0"/>
        <rFont val="LMG-Arun"/>
      </rPr>
      <t xml:space="preserve"> Z_Z$ v Z_Z5</t>
    </r>
  </si>
  <si>
    <r>
      <t xml:space="preserve"> BFTFG]\ GFD vo  </t>
    </r>
    <r>
      <rPr>
        <sz val="16"/>
        <color rgb="FFAE0258"/>
        <rFont val="LMG-Arun"/>
      </rPr>
      <t xml:space="preserve"> </t>
    </r>
    <r>
      <rPr>
        <sz val="16"/>
        <color theme="1"/>
        <rFont val="LMG-Arun"/>
      </rPr>
      <t xml:space="preserve"> </t>
    </r>
    <r>
      <rPr>
        <sz val="16"/>
        <color rgb="FFFF0066"/>
        <rFont val="LMG-Arun"/>
      </rPr>
      <t xml:space="preserve">l;lJ, U|Fg8  </t>
    </r>
    <r>
      <rPr>
        <sz val="16"/>
        <color theme="1"/>
        <rFont val="LMG-Arun"/>
      </rPr>
      <t xml:space="preserve">                  JØ" vo </t>
    </r>
    <r>
      <rPr>
        <sz val="16"/>
        <color rgb="FF7030A0"/>
        <rFont val="LMG-Arun"/>
      </rPr>
      <t xml:space="preserve"> Z_Z$ v Z_Z5</t>
    </r>
  </si>
  <si>
    <r>
      <t xml:space="preserve"> BFTFG]\ GFD vo  </t>
    </r>
    <r>
      <rPr>
        <sz val="16"/>
        <color rgb="FFAE0258"/>
        <rFont val="LMG-Arun"/>
      </rPr>
      <t xml:space="preserve"> </t>
    </r>
    <r>
      <rPr>
        <sz val="16"/>
        <color theme="1"/>
        <rFont val="LMG-Arun"/>
      </rPr>
      <t xml:space="preserve">                 </t>
    </r>
    <r>
      <rPr>
        <sz val="16"/>
        <color rgb="FFFF0066"/>
        <rFont val="LMG-Arun"/>
      </rPr>
      <t xml:space="preserve">  </t>
    </r>
    <r>
      <rPr>
        <sz val="16"/>
        <color theme="1"/>
        <rFont val="LMG-Arun"/>
      </rPr>
      <t xml:space="preserve">                  JØ" vo </t>
    </r>
    <r>
      <rPr>
        <sz val="16"/>
        <color rgb="FF7030A0"/>
        <rFont val="LMG-Arun"/>
      </rPr>
      <t>Z_Z$ v Z_Z5</t>
    </r>
  </si>
  <si>
    <r>
      <t xml:space="preserve"> BFTFG]\ GFD vo                                       JØ" vo </t>
    </r>
    <r>
      <rPr>
        <sz val="16"/>
        <color rgb="FF7030A0"/>
        <rFont val="LMG-Arun"/>
      </rPr>
      <t xml:space="preserve"> Z_Z$ v Z_Z5</t>
    </r>
  </si>
  <si>
    <t>18/5/2024</t>
  </si>
  <si>
    <r>
      <t>&gt;g8ZG[8 U|Fg8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rgb="FF002060"/>
        <rFont val="LMG-Arun"/>
      </rPr>
      <t xml:space="preserve">HDF    </t>
    </r>
  </si>
  <si>
    <t xml:space="preserve"> l;lJ, U|Fg8 HDF</t>
  </si>
  <si>
    <r>
      <t xml:space="preserve">1         </t>
    </r>
    <r>
      <rPr>
        <sz val="12"/>
        <color theme="1"/>
        <rFont val="LMG-Arun"/>
      </rPr>
      <t>!q!YL !q$</t>
    </r>
  </si>
  <si>
    <t>;eI ;lRJ</t>
  </si>
  <si>
    <t>!q#</t>
  </si>
  <si>
    <t>!q$</t>
  </si>
  <si>
    <t>15/08/2024</t>
  </si>
  <si>
    <t>EFJGFA[G EZTEF&gt; ;M-F</t>
  </si>
  <si>
    <t>26/01/2025</t>
  </si>
  <si>
    <t>(q!</t>
  </si>
  <si>
    <t>25/06/2024</t>
  </si>
  <si>
    <t>5|J[XMt;J SL8</t>
  </si>
  <si>
    <t>zL lJnFYL" 8=[0;"G[ 5|J[XMt;J SL8GF lA,PD]</t>
  </si>
  <si>
    <t>ELD5]ZF</t>
  </si>
  <si>
    <t>ULTFA[G lCZFEF&gt; U-JL</t>
  </si>
  <si>
    <t xml:space="preserve">SÙFV[ X~GL l;,S ~FP  </t>
  </si>
  <si>
    <t xml:space="preserve">S], U|Fg8 ~FP </t>
  </si>
  <si>
    <t>TYF U|Fg8 5{SL S], BR" ~FP</t>
  </si>
  <si>
    <t xml:space="preserve">YI[, K[P  VUFpGF JØ" ;lCT #!DL DFR"GF ZMH ART ~FP </t>
  </si>
  <si>
    <t xml:space="preserve">ZC[, K[P ;NZ VFJS TYF BR" lC;FAL Z[S0" 5ZYL BZF&gt; SZ[, K[PH[ VF5 ;FC[AzLG[ lJlNT </t>
  </si>
  <si>
    <r>
      <t>JØ" NZdIFG D/[, U|Fg8 ~FP</t>
    </r>
    <r>
      <rPr>
        <sz val="16"/>
        <color rgb="FF000000"/>
        <rFont val="Calibri"/>
        <family val="2"/>
        <scheme val="minor"/>
      </rPr>
      <t xml:space="preserve"> </t>
    </r>
  </si>
  <si>
    <t>બારિઆના  મુવાડા</t>
  </si>
  <si>
    <t>11590100004314</t>
  </si>
  <si>
    <r>
      <rPr>
        <sz val="18"/>
        <color theme="1"/>
        <rFont val="Algerian"/>
        <family val="5"/>
      </rPr>
      <t xml:space="preserve">SMCE </t>
    </r>
    <r>
      <rPr>
        <sz val="18"/>
        <color theme="1"/>
        <rFont val="LMG-Arun"/>
      </rPr>
      <t>AFlZVFGF D]JF0FP5|FPXF/F</t>
    </r>
  </si>
  <si>
    <r>
      <t>66    03</t>
    </r>
    <r>
      <rPr>
        <sz val="9"/>
        <color theme="1"/>
        <rFont val="Calibri"/>
        <family val="2"/>
        <scheme val="minor"/>
      </rPr>
      <t>/07/2024</t>
    </r>
  </si>
  <si>
    <r>
      <t>1     03</t>
    </r>
    <r>
      <rPr>
        <sz val="10"/>
        <color theme="1"/>
        <rFont val="Calibri"/>
        <family val="2"/>
        <scheme val="minor"/>
      </rPr>
      <t>/07/2024</t>
    </r>
  </si>
  <si>
    <t>1/2 05/02/2024</t>
  </si>
  <si>
    <t>1/4 10/03/2024</t>
  </si>
  <si>
    <t>1/1 02/02/2024</t>
  </si>
  <si>
    <t>01/06/2024   TO   02/07/2024</t>
  </si>
  <si>
    <t>29/07/2024</t>
  </si>
  <si>
    <t>;eI ;lRJ §FZF AF/D[/M45|7F U|Fg8 VG[ JF,L ;\D[,G U|Fg8GF GF6F\ p5F0IFP</t>
  </si>
  <si>
    <t>18/10/2024</t>
  </si>
  <si>
    <r>
      <t>2     18</t>
    </r>
    <r>
      <rPr>
        <sz val="10"/>
        <color theme="1"/>
        <rFont val="Calibri"/>
        <family val="2"/>
        <scheme val="minor"/>
      </rPr>
      <t>/10/2024</t>
    </r>
  </si>
  <si>
    <r>
      <t>67    18</t>
    </r>
    <r>
      <rPr>
        <sz val="9"/>
        <color theme="1"/>
        <rFont val="Calibri"/>
        <family val="2"/>
        <scheme val="minor"/>
      </rPr>
      <t>/10/2024</t>
    </r>
  </si>
  <si>
    <t>gI] ZlJ 8=[l0\U S\5GLG[ AF/D[/M D8ZLI&lt;;GF R]SjIF</t>
  </si>
  <si>
    <t>gI] ZlJ 8=[l0\U S\5GLG[ 5|7F D8ZLI&lt;;GF R]SjIF</t>
  </si>
  <si>
    <t>EJFGl;\CG[ ;ZEZF BR"GF R]SjIF</t>
  </si>
  <si>
    <t>2/1 25/07/24</t>
  </si>
  <si>
    <t>2/2 15/08/24</t>
  </si>
  <si>
    <t>25/12/2024    TO   31/12/2024</t>
  </si>
  <si>
    <r>
      <t>3           10</t>
    </r>
    <r>
      <rPr>
        <sz val="10"/>
        <color theme="1"/>
        <rFont val="Calibri"/>
        <family val="2"/>
        <scheme val="minor"/>
      </rPr>
      <t>/01/2025</t>
    </r>
  </si>
  <si>
    <r>
      <t>68    10</t>
    </r>
    <r>
      <rPr>
        <sz val="9"/>
        <color theme="1"/>
        <rFont val="Calibri"/>
        <family val="2"/>
        <scheme val="minor"/>
      </rPr>
      <t>/01/2025</t>
    </r>
  </si>
  <si>
    <t>AMdA[ S8,ZL G[ lA, D]HA</t>
  </si>
  <si>
    <t>;OF&gt;SFD 5[8[ 5XFEF&gt;G[R]SjIFPJFPD]HA</t>
  </si>
  <si>
    <t>3/2 15/04/2024</t>
  </si>
  <si>
    <t>3/1 08/04/2024</t>
  </si>
  <si>
    <t>3/3 04/05/2024</t>
  </si>
  <si>
    <t>3/4 04/05/2024</t>
  </si>
  <si>
    <t>3/6 14/06/2024</t>
  </si>
  <si>
    <t>3/5 12/06/2024</t>
  </si>
  <si>
    <t>21/03/2025</t>
  </si>
  <si>
    <t>&gt;g8ZG[8 U|Fg8 DF\YL R[SYL GF6F\ R]SjIF</t>
  </si>
  <si>
    <t>lNXFJ[j;G[ G[8GF R]SjIFP JFPD]HA</t>
  </si>
  <si>
    <r>
      <t>69           20</t>
    </r>
    <r>
      <rPr>
        <sz val="9"/>
        <color theme="1"/>
        <rFont val="Calibri"/>
        <family val="2"/>
        <scheme val="minor"/>
      </rPr>
      <t>/03/2025</t>
    </r>
  </si>
  <si>
    <r>
      <t>4                21</t>
    </r>
    <r>
      <rPr>
        <sz val="10"/>
        <color theme="1"/>
        <rFont val="Calibri"/>
        <family val="2"/>
        <scheme val="minor"/>
      </rPr>
      <t>/03/2025</t>
    </r>
  </si>
  <si>
    <t>l;lJ, U|Fg8DF\YL R[SYL GF6F\ R]SjIF</t>
  </si>
  <si>
    <t>25/03/2025</t>
  </si>
  <si>
    <r>
      <t>5                24</t>
    </r>
    <r>
      <rPr>
        <sz val="10"/>
        <color theme="1"/>
        <rFont val="Calibri"/>
        <family val="2"/>
        <scheme val="minor"/>
      </rPr>
      <t>/03/2025</t>
    </r>
  </si>
  <si>
    <r>
      <t>71           24</t>
    </r>
    <r>
      <rPr>
        <sz val="9"/>
        <color theme="1"/>
        <rFont val="Calibri"/>
        <family val="2"/>
        <scheme val="minor"/>
      </rPr>
      <t>/03/2025</t>
    </r>
  </si>
  <si>
    <t>;FlC, 8=[0;"G[ .8M4Z[TLGF R]PJFPD]</t>
  </si>
  <si>
    <r>
      <t>70           24</t>
    </r>
    <r>
      <rPr>
        <sz val="9"/>
        <color theme="1"/>
        <rFont val="Calibri"/>
        <family val="2"/>
        <scheme val="minor"/>
      </rPr>
      <t>/03/2025</t>
    </r>
  </si>
  <si>
    <r>
      <t>6                24</t>
    </r>
    <r>
      <rPr>
        <sz val="10"/>
        <color theme="1"/>
        <rFont val="Calibri"/>
        <family val="2"/>
        <scheme val="minor"/>
      </rPr>
      <t>/03/2025</t>
    </r>
  </si>
  <si>
    <t>lT~5lT 8=[l0\U S\5GLG[ l;D[g848F&gt;&lt;;GF R]PJFPD]</t>
  </si>
  <si>
    <t>;eI ;lRJ §FZF 5|J[;Mt;J4 O:8 V[&gt;0 AMS; VG[ JF,L;\D[,G U|Fg8GF GF6F\ p5F0IF</t>
  </si>
  <si>
    <t>07     29/03/2025</t>
  </si>
  <si>
    <r>
      <t>73     29</t>
    </r>
    <r>
      <rPr>
        <sz val="9"/>
        <color theme="1"/>
        <rFont val="Calibri"/>
        <family val="2"/>
        <scheme val="minor"/>
      </rPr>
      <t>/03/2025</t>
    </r>
  </si>
  <si>
    <t>7/1 25/06/2024</t>
  </si>
  <si>
    <t>7/2 26/01/2025</t>
  </si>
  <si>
    <t>7/3 29/03/2025</t>
  </si>
  <si>
    <t>BMl0IFZ D[0LS, :8MZG[ O:8 V[&gt;0 SL8GFPJFPD]</t>
  </si>
  <si>
    <r>
      <t>72           28</t>
    </r>
    <r>
      <rPr>
        <sz val="9"/>
        <color theme="1"/>
        <rFont val="Calibri"/>
        <family val="2"/>
        <scheme val="minor"/>
      </rPr>
      <t>/03/2025</t>
    </r>
  </si>
  <si>
    <r>
      <t>8                28</t>
    </r>
    <r>
      <rPr>
        <sz val="10"/>
        <color theme="1"/>
        <rFont val="Calibri"/>
        <family val="2"/>
        <scheme val="minor"/>
      </rPr>
      <t>/03/2025</t>
    </r>
  </si>
  <si>
    <t>&gt;`JZEF&gt;G[ DH]ZLGF GF R]PJFPD]</t>
  </si>
  <si>
    <r>
      <t xml:space="preserve">TFZLB #!q_#qZ_Z5 GF ZMH AFlZVFGF D]JF0F 5|FPXF/F </t>
    </r>
    <r>
      <rPr>
        <b/>
        <sz val="16"/>
        <color rgb="FF002060"/>
        <rFont val="Calibri Light"/>
        <family val="1"/>
        <scheme val="major"/>
      </rPr>
      <t>SMCE</t>
    </r>
    <r>
      <rPr>
        <b/>
        <sz val="16"/>
        <color rgb="FF002060"/>
        <rFont val="LMG-Arun"/>
      </rPr>
      <t xml:space="preserve">GL A\W l;,S ~P!*($ZP__ V\S[ ~l5IF ;¿ZCHFZ VF9;M A[TF/L; ZC[ K[P </t>
    </r>
  </si>
  <si>
    <t>&gt;8M4Z[TLGF R]SjIFPlA, D]HA</t>
  </si>
  <si>
    <t>l;D[g8 8F&gt;&lt;;GF R]SjIF JFPD]</t>
  </si>
  <si>
    <t>Sl0IFSFD DH]ZLGF R]SjIF JFPD]</t>
  </si>
  <si>
    <r>
      <t xml:space="preserve">SMCE </t>
    </r>
    <r>
      <rPr>
        <sz val="12"/>
        <color theme="1"/>
        <rFont val="LMG-Arun"/>
      </rPr>
      <t>AFlZVFGF D]JF0F</t>
    </r>
  </si>
  <si>
    <r>
      <t xml:space="preserve">BOB </t>
    </r>
    <r>
      <rPr>
        <sz val="12"/>
        <color theme="1"/>
        <rFont val="LMG-Arun"/>
      </rPr>
      <t>V\lT;Z</t>
    </r>
  </si>
  <si>
    <r>
      <t xml:space="preserve">BOB 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LMG-Arun"/>
      </rPr>
      <t>V\lT;Z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LMG-Arun"/>
      </rPr>
      <t>jIFH</t>
    </r>
  </si>
  <si>
    <t>66       03/07/2024</t>
  </si>
  <si>
    <r>
      <rPr>
        <u/>
        <sz val="14"/>
        <color theme="1"/>
        <rFont val="Guj_Regular_Bold_SULEKH"/>
      </rPr>
      <t>67    18</t>
    </r>
    <r>
      <rPr>
        <sz val="14"/>
        <color theme="1"/>
        <rFont val="Guj_Regular_Bold_SULEKH"/>
      </rPr>
      <t>/10/2024</t>
    </r>
  </si>
  <si>
    <r>
      <t xml:space="preserve">2         </t>
    </r>
    <r>
      <rPr>
        <sz val="14"/>
        <color theme="1"/>
        <rFont val="LMG-Arun"/>
      </rPr>
      <t>Z</t>
    </r>
    <r>
      <rPr>
        <sz val="12"/>
        <color theme="1"/>
        <rFont val="LMG-Arun"/>
      </rPr>
      <t>q!</t>
    </r>
    <r>
      <rPr>
        <sz val="14"/>
        <color theme="1"/>
        <rFont val="Guj_Regular_Bold_SULEKH"/>
      </rPr>
      <t xml:space="preserve"> </t>
    </r>
    <r>
      <rPr>
        <sz val="14"/>
        <color theme="1"/>
        <rFont val="LMG-Arun"/>
      </rPr>
      <t>YLZq#</t>
    </r>
  </si>
  <si>
    <t xml:space="preserve">AF/D[/M D8ZLI&lt;;4JF,L;\D[,G ;ZEZF BR"45|7F D8ZLI&lt;; </t>
  </si>
  <si>
    <t>2/3 10/10/24</t>
  </si>
  <si>
    <r>
      <rPr>
        <u/>
        <sz val="14"/>
        <color theme="1"/>
        <rFont val="Guj_Regular_Bold_SULEKH"/>
      </rPr>
      <t>68 10</t>
    </r>
    <r>
      <rPr>
        <sz val="14"/>
        <color theme="1"/>
        <rFont val="Guj_Regular_Bold_SULEKH"/>
      </rPr>
      <t>/01/2025</t>
    </r>
  </si>
  <si>
    <r>
      <rPr>
        <u/>
        <sz val="14"/>
        <color theme="1"/>
        <rFont val="Guj_Regular_Bold_SULEKH"/>
      </rPr>
      <t xml:space="preserve">69 </t>
    </r>
    <r>
      <rPr>
        <sz val="14"/>
        <color theme="1"/>
        <rFont val="Guj_Regular_Bold_SULEKH"/>
      </rPr>
      <t>20/03/2025</t>
    </r>
  </si>
  <si>
    <t>lNXF J[j;</t>
  </si>
  <si>
    <r>
      <t xml:space="preserve">3 </t>
    </r>
    <r>
      <rPr>
        <sz val="14"/>
        <color theme="1"/>
        <rFont val="LMG-Arun"/>
      </rPr>
      <t>#q!YL#q&amp;</t>
    </r>
  </si>
  <si>
    <t>;FlC, 8=[0;"</t>
  </si>
  <si>
    <t>&gt;g8ZG[8 lZRFH"</t>
  </si>
  <si>
    <t>&gt;8M4Z[TL</t>
  </si>
  <si>
    <t xml:space="preserve"> l;D[g848F&gt;&lt;;</t>
  </si>
  <si>
    <t>lT~5lT 8=[l0\U S\5GL</t>
  </si>
  <si>
    <r>
      <rPr>
        <u/>
        <sz val="14"/>
        <color theme="1"/>
        <rFont val="Guj_Regular_Bold_SULEKH"/>
      </rPr>
      <t>70       24</t>
    </r>
    <r>
      <rPr>
        <sz val="14"/>
        <color theme="1"/>
        <rFont val="Guj_Regular_Bold_SULEKH"/>
      </rPr>
      <t>/03/2025</t>
    </r>
  </si>
  <si>
    <r>
      <rPr>
        <u/>
        <sz val="14"/>
        <color theme="1"/>
        <rFont val="Guj_Regular_Bold_SULEKH"/>
      </rPr>
      <t>71     24</t>
    </r>
    <r>
      <rPr>
        <sz val="14"/>
        <color theme="1"/>
        <rFont val="Guj_Regular_Bold_SULEKH"/>
      </rPr>
      <t>/03/2025</t>
    </r>
  </si>
  <si>
    <r>
      <rPr>
        <u/>
        <sz val="14"/>
        <color theme="1"/>
        <rFont val="Guj_Regular_Bold_SULEKH"/>
      </rPr>
      <t>73      29</t>
    </r>
    <r>
      <rPr>
        <sz val="14"/>
        <color theme="1"/>
        <rFont val="Guj_Regular_Bold_SULEKH"/>
      </rPr>
      <t>/03/2025</t>
    </r>
  </si>
  <si>
    <t>5|J[XMt;J SL84 O:8 V[&gt;0 AMS; SL84JF,L ;\D[,G ;ZEZF BR"4</t>
  </si>
  <si>
    <r>
      <rPr>
        <u/>
        <sz val="14"/>
        <color theme="1"/>
        <rFont val="Guj_Regular_Bold_SULEKH"/>
      </rPr>
      <t>72    28</t>
    </r>
    <r>
      <rPr>
        <sz val="14"/>
        <color theme="1"/>
        <rFont val="Guj_Regular_Bold_SULEKH"/>
      </rPr>
      <t>/03/2025</t>
    </r>
  </si>
  <si>
    <t>&gt;`JZEF&gt; ;MDFEF&gt; RÁCF6</t>
  </si>
  <si>
    <t>R6TZSFD 8F&gt;&lt;; lO8L\U DH]ZL</t>
  </si>
  <si>
    <t xml:space="preserve">                 VFYL 5|DF65+ VF5JFDF\ VFJ[ K[ S[ ;DU |lXÙF V\TU"T JØ" Z_Z$ q Z_Z5 NZdIFG  V[;PV[DP;LP&gt;</t>
  </si>
  <si>
    <t xml:space="preserve">V[;PV[DP;LP. SÙFV[ HDF </t>
  </si>
  <si>
    <t>5XFEF&gt; 5]~;M¿DEF&gt; ClZHG</t>
  </si>
  <si>
    <t>gI] ZlJ 8=[l0\U S\5GL</t>
  </si>
  <si>
    <t>EJFGl;\C ZFEFEF&gt; RÁCF6</t>
  </si>
  <si>
    <t>25/07/2024</t>
  </si>
  <si>
    <t>#q!</t>
  </si>
  <si>
    <t>#qZ</t>
  </si>
  <si>
    <t>#q#</t>
  </si>
  <si>
    <t>#q$</t>
  </si>
  <si>
    <t>#q5</t>
  </si>
  <si>
    <t>#q&amp;</t>
  </si>
  <si>
    <t xml:space="preserve">AMdA[ S8,ZL </t>
  </si>
  <si>
    <t>15/04/2024</t>
  </si>
  <si>
    <t>14/06/2024</t>
  </si>
  <si>
    <t>*q!</t>
  </si>
  <si>
    <t>*qZ</t>
  </si>
  <si>
    <t>*q#</t>
  </si>
  <si>
    <t>24/03/2025</t>
  </si>
  <si>
    <t>BMl0IFZ D[0LS, :8M;"</t>
  </si>
  <si>
    <t>28/03/2025</t>
  </si>
  <si>
    <r>
      <rPr>
        <sz val="18"/>
        <color theme="1"/>
        <rFont val="Algerian"/>
        <family val="5"/>
      </rPr>
      <t xml:space="preserve">smce </t>
    </r>
    <r>
      <rPr>
        <sz val="18"/>
        <color theme="1"/>
        <rFont val="Guj_Diamond_SULEKH"/>
      </rPr>
      <t>ÏâãÓáâÌâ ÑçÕâÅâ.                     ãÏÔ Ó‘sÃÓ.             ÕØô«2024/2025</t>
    </r>
  </si>
  <si>
    <t>AFlZVFGF D]JF0F</t>
  </si>
  <si>
    <t>VH]"Gl;\C DMTLl;\C ZF9M0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</si>
</sst>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mm/dd/yyyy"/>
  </numFmts>
  <fonts count="1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LMG-Arun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LMG-Arun"/>
    </font>
    <font>
      <b/>
      <sz val="11"/>
      <color theme="1"/>
      <name val="LMG-Arun"/>
    </font>
    <font>
      <b/>
      <sz val="16"/>
      <color theme="1"/>
      <name val="LMG-Arun"/>
    </font>
    <font>
      <b/>
      <sz val="16"/>
      <color theme="1"/>
      <name val="Calibri"/>
      <family val="2"/>
      <scheme val="minor"/>
    </font>
    <font>
      <b/>
      <sz val="14"/>
      <color rgb="FF002060"/>
      <name val="LMG-Arun"/>
    </font>
    <font>
      <b/>
      <sz val="14"/>
      <color rgb="FF002060"/>
      <name val="Microsoft Himalaya"/>
    </font>
    <font>
      <b/>
      <sz val="12"/>
      <color rgb="FF002060"/>
      <name val="Microsoft Himalaya"/>
    </font>
    <font>
      <sz val="16"/>
      <color rgb="FF002060"/>
      <name val="Andalus"/>
      <family val="1"/>
    </font>
    <font>
      <sz val="14"/>
      <color rgb="FF002060"/>
      <name val="LMG-Arun"/>
    </font>
    <font>
      <sz val="14"/>
      <color rgb="FF660066"/>
      <name val="Calibri"/>
      <family val="2"/>
      <scheme val="minor"/>
    </font>
    <font>
      <b/>
      <sz val="14"/>
      <color rgb="FF7030A0"/>
      <name val="LMG-Arun"/>
    </font>
    <font>
      <b/>
      <sz val="16"/>
      <color rgb="FF002060"/>
      <name val="LMG-Arun"/>
    </font>
    <font>
      <b/>
      <sz val="26"/>
      <color rgb="FF002060"/>
      <name val="Angsana New"/>
      <family val="1"/>
    </font>
    <font>
      <b/>
      <sz val="12"/>
      <color theme="1"/>
      <name val="Guj_Regular_Bold_SULEKH"/>
    </font>
    <font>
      <b/>
      <sz val="12"/>
      <color rgb="FF660066"/>
      <name val="Guj_Regular_Bold_SULEKH"/>
    </font>
    <font>
      <b/>
      <sz val="11"/>
      <color theme="1"/>
      <name val="Guj_Regular_Bold_SULEKH"/>
    </font>
    <font>
      <sz val="16"/>
      <color rgb="FFAE0258"/>
      <name val="LMG-Arun"/>
    </font>
    <font>
      <sz val="16"/>
      <color rgb="FFAE0258"/>
      <name val="Calibri Light"/>
      <family val="1"/>
      <scheme val="major"/>
    </font>
    <font>
      <b/>
      <sz val="14"/>
      <color rgb="FF002060"/>
      <name val="Calibri"/>
      <family val="2"/>
      <scheme val="minor"/>
    </font>
    <font>
      <sz val="12"/>
      <color theme="1"/>
      <name val="Guj_Simple_Bold_SULEKH"/>
    </font>
    <font>
      <sz val="12"/>
      <color theme="1"/>
      <name val="LMG-Arun"/>
    </font>
    <font>
      <sz val="12"/>
      <color theme="1"/>
      <name val="Calibri"/>
      <family val="2"/>
      <scheme val="minor"/>
    </font>
    <font>
      <sz val="12"/>
      <color theme="1"/>
      <name val="Guj_Regular_Bold_SULEKH"/>
    </font>
    <font>
      <b/>
      <sz val="12"/>
      <color theme="1"/>
      <name val="LMG-Arun"/>
    </font>
    <font>
      <sz val="11"/>
      <color theme="1"/>
      <name val="LMG-Arun"/>
    </font>
    <font>
      <b/>
      <sz val="14"/>
      <color theme="1"/>
      <name val="LMG-Arun"/>
    </font>
    <font>
      <b/>
      <sz val="14"/>
      <color theme="1"/>
      <name val="Calibri"/>
      <family val="2"/>
      <scheme val="minor"/>
    </font>
    <font>
      <b/>
      <sz val="14"/>
      <color theme="1"/>
      <name val="FrankRuehl"/>
      <family val="2"/>
      <charset val="177"/>
    </font>
    <font>
      <b/>
      <sz val="14"/>
      <color rgb="FF000066"/>
      <name val="LMG-Arun"/>
    </font>
    <font>
      <sz val="14"/>
      <color rgb="FF000066"/>
      <name val="LMG-Arun"/>
    </font>
    <font>
      <sz val="14"/>
      <color rgb="FF000066"/>
      <name val="Calibri"/>
      <family val="2"/>
      <scheme val="minor"/>
    </font>
    <font>
      <sz val="14"/>
      <color theme="1"/>
      <name val="Guj_Regular_Bold_SULEKH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8"/>
      <color theme="1"/>
      <name val="LMG-Arun"/>
    </font>
    <font>
      <sz val="18"/>
      <color theme="1"/>
      <name val="Calibri"/>
      <family val="2"/>
      <scheme val="minor"/>
    </font>
    <font>
      <b/>
      <sz val="12"/>
      <color rgb="FF0070C0"/>
      <name val="LMG-Arun"/>
    </font>
    <font>
      <b/>
      <sz val="12"/>
      <color rgb="FF000066"/>
      <name val="LMG-Arun"/>
    </font>
    <font>
      <sz val="11"/>
      <color rgb="FF000066"/>
      <name val="Calibri"/>
      <family val="2"/>
      <scheme val="minor"/>
    </font>
    <font>
      <b/>
      <sz val="11"/>
      <color theme="1"/>
      <name val="FrankRuehl"/>
      <family val="2"/>
      <charset val="177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9"/>
      <color theme="1"/>
      <name val="LMG-Arun"/>
    </font>
    <font>
      <b/>
      <sz val="8"/>
      <color theme="1"/>
      <name val="LMG-Arun"/>
    </font>
    <font>
      <b/>
      <sz val="9"/>
      <color theme="1"/>
      <name val="FrankRuehl"/>
      <family val="2"/>
      <charset val="177"/>
    </font>
    <font>
      <b/>
      <sz val="10"/>
      <color theme="1"/>
      <name val="LMG-Arun"/>
    </font>
    <font>
      <sz val="11"/>
      <color theme="1"/>
      <name val="Guj_Regular_Bold_SULEKH"/>
    </font>
    <font>
      <b/>
      <sz val="11"/>
      <color rgb="FF0000FF"/>
      <name val="Guj_Regular_Bold_SULEKH"/>
    </font>
    <font>
      <sz val="12"/>
      <color rgb="FF0000FF"/>
      <name val="Guj_Regular_Bold_SULEKH"/>
    </font>
    <font>
      <b/>
      <sz val="12"/>
      <color rgb="FF0000FF"/>
      <name val="LMG-Arun"/>
    </font>
    <font>
      <sz val="11"/>
      <color rgb="FF0000FF"/>
      <name val="Guj_Regular_Bold_SULEKH"/>
    </font>
    <font>
      <b/>
      <sz val="12"/>
      <color rgb="FF0000FF"/>
      <name val="Guj_Regular_Bold_SULEKH"/>
    </font>
    <font>
      <sz val="12"/>
      <color rgb="FF0000FF"/>
      <name val="Calibri"/>
      <family val="2"/>
      <scheme val="minor"/>
    </font>
    <font>
      <sz val="16"/>
      <color rgb="FFFF0066"/>
      <name val="LMG-Arun"/>
    </font>
    <font>
      <b/>
      <sz val="10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0"/>
      <color rgb="FF000066"/>
      <name val="Calibri"/>
      <family val="2"/>
      <scheme val="minor"/>
    </font>
    <font>
      <sz val="16"/>
      <color rgb="FF7030A0"/>
      <name val="LMG-Arun"/>
    </font>
    <font>
      <sz val="10"/>
      <color theme="1"/>
      <name val="Guj_Regular_Bold_SULEKH"/>
    </font>
    <font>
      <b/>
      <sz val="10"/>
      <color rgb="FF0000FF"/>
      <name val="Guj_Regular_Bold_SULEKH"/>
    </font>
    <font>
      <sz val="18"/>
      <color theme="1"/>
      <name val="Guj_Regular_Bold_SULEKH"/>
    </font>
    <font>
      <b/>
      <sz val="8"/>
      <color theme="1"/>
      <name val="FrankRuehl"/>
      <family val="2"/>
      <charset val="177"/>
    </font>
    <font>
      <sz val="9"/>
      <color theme="1"/>
      <name val="LMG-Arun"/>
    </font>
    <font>
      <sz val="10"/>
      <color theme="1"/>
      <name val="LMG-Arun"/>
    </font>
    <font>
      <sz val="9"/>
      <color theme="1"/>
      <name val="Guj_Regular_Bold_SULEKH"/>
    </font>
    <font>
      <sz val="10"/>
      <color rgb="FF0000FF"/>
      <name val="Guj_Regular_Bold_SULEKH"/>
    </font>
    <font>
      <sz val="18"/>
      <color theme="1"/>
      <name val="Algerian"/>
      <family val="5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4"/>
      <color theme="1"/>
      <name val="Guj_Regular_Bold_SULEKH"/>
    </font>
    <font>
      <b/>
      <sz val="16"/>
      <color rgb="FF002060"/>
      <name val="Calibri Light"/>
      <family val="1"/>
      <scheme val="major"/>
    </font>
    <font>
      <b/>
      <sz val="18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4"/>
      <color rgb="FF002060"/>
      <name val="Calibri"/>
      <family val="2"/>
      <scheme val="minor"/>
    </font>
    <font>
      <sz val="12"/>
      <color rgb="FF660066"/>
      <name val="Guj_Regular_Bold_SULEKH"/>
    </font>
    <font>
      <sz val="10"/>
      <color rgb="FF660066"/>
      <name val="Guj_Regular_Bold_SULEKH"/>
    </font>
    <font>
      <sz val="14"/>
      <color rgb="FF660066"/>
      <name val="Guj_Regular_Bold_SULEKH"/>
    </font>
    <font>
      <sz val="22"/>
      <color theme="1"/>
      <name val="LMG-Arun"/>
    </font>
    <font>
      <sz val="20"/>
      <color theme="1"/>
      <name val="LMG-Arun"/>
    </font>
    <font>
      <sz val="16"/>
      <color theme="1"/>
      <name val="Guj_Regular_Bold_SULEKH"/>
    </font>
    <font>
      <sz val="22"/>
      <color theme="1"/>
      <name val="Guj_Regular_Bold_SULEKH"/>
    </font>
    <font>
      <sz val="14"/>
      <color rgb="FF7030A0"/>
      <name val="LMG-Arun"/>
    </font>
    <font>
      <sz val="14"/>
      <color rgb="FF7030A0"/>
      <name val="Calibri"/>
      <family val="2"/>
      <scheme val="minor"/>
    </font>
    <font>
      <b/>
      <sz val="9"/>
      <color rgb="FF7030A0"/>
      <name val="LMG-Arun"/>
    </font>
    <font>
      <sz val="16"/>
      <color rgb="FF7030A0"/>
      <name val="Andalus"/>
      <family val="1"/>
    </font>
    <font>
      <b/>
      <sz val="10"/>
      <color rgb="FF660066"/>
      <name val="Guj_Regular_Bold_SULEKH"/>
    </font>
    <font>
      <b/>
      <sz val="16"/>
      <color rgb="FF7030A0"/>
      <name val="Guj_Regular_Bold_SULEKH"/>
    </font>
    <font>
      <b/>
      <sz val="20"/>
      <color rgb="FF7030A0"/>
      <name val="LMG-Arun"/>
    </font>
    <font>
      <b/>
      <sz val="22"/>
      <color rgb="FF7030A0"/>
      <name val="Angsana New"/>
      <family val="1"/>
    </font>
    <font>
      <b/>
      <sz val="20"/>
      <color rgb="FF7030A0"/>
      <name val="Angsana New"/>
      <family val="1"/>
    </font>
    <font>
      <b/>
      <sz val="18"/>
      <color rgb="FF002060"/>
      <name val="LMG-Arun"/>
    </font>
    <font>
      <b/>
      <sz val="18"/>
      <color rgb="FF6600CC"/>
      <name val="LMG-Arun"/>
    </font>
    <font>
      <b/>
      <sz val="16"/>
      <color theme="1"/>
      <name val="Aparajita"/>
      <family val="2"/>
    </font>
    <font>
      <sz val="16"/>
      <color theme="1"/>
      <name val="Aparajita"/>
      <family val="2"/>
    </font>
    <font>
      <b/>
      <sz val="14"/>
      <color theme="1"/>
      <name val="Andalus"/>
      <family val="1"/>
    </font>
    <font>
      <b/>
      <sz val="12"/>
      <color theme="1"/>
      <name val="Aparajita"/>
      <family val="2"/>
    </font>
    <font>
      <sz val="12"/>
      <color theme="1"/>
      <name val="Aparajita"/>
      <family val="2"/>
    </font>
    <font>
      <b/>
      <sz val="12"/>
      <color theme="1"/>
      <name val="Andalus"/>
      <family val="1"/>
    </font>
    <font>
      <sz val="16"/>
      <color rgb="FF0000FF"/>
      <name val="LMG-Arun"/>
    </font>
    <font>
      <sz val="16"/>
      <color rgb="FF0000FF"/>
      <name val="Calibri"/>
      <family val="2"/>
      <scheme val="minor"/>
    </font>
    <font>
      <sz val="16"/>
      <color rgb="FF0000FF"/>
      <name val="Aparajita"/>
      <family val="2"/>
    </font>
    <font>
      <b/>
      <sz val="14"/>
      <color rgb="FF002060"/>
      <name val="Guj_Saral_Bold_SULEKH"/>
    </font>
    <font>
      <sz val="12"/>
      <color rgb="FF7030A0"/>
      <name val="LMG-Arun"/>
    </font>
    <font>
      <b/>
      <sz val="14"/>
      <color rgb="FF7030A0"/>
      <name val="Guj_Saral_Bold_SULEKH"/>
    </font>
    <font>
      <sz val="18"/>
      <color rgb="FF002060"/>
      <name val="LMG-Arun"/>
    </font>
    <font>
      <sz val="18"/>
      <color rgb="FF6600CC"/>
      <name val="LMG-Arun"/>
    </font>
    <font>
      <b/>
      <sz val="22"/>
      <color rgb="FF002060"/>
      <name val="Angsana New"/>
      <family val="1"/>
    </font>
    <font>
      <b/>
      <sz val="22"/>
      <color theme="1"/>
      <name val="LMG-Arun"/>
    </font>
    <font>
      <sz val="16"/>
      <color theme="1"/>
      <name val="Guj_HeadLine_SULEKH"/>
    </font>
    <font>
      <sz val="16"/>
      <color rgb="FF002060"/>
      <name val="LMG-Arun"/>
    </font>
    <font>
      <sz val="12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sz val="16"/>
      <color rgb="FF002060"/>
      <name val="Calibri"/>
      <family val="2"/>
    </font>
    <font>
      <b/>
      <sz val="14"/>
      <color rgb="FF7030A0"/>
      <name val="Guj_Regular_Bold_SULEKH"/>
    </font>
    <font>
      <sz val="11"/>
      <color theme="0"/>
      <name val="Calibri"/>
      <family val="2"/>
      <scheme val="minor"/>
    </font>
    <font>
      <sz val="18"/>
      <color theme="1"/>
      <name val="LMG-Arun"/>
      <family val="5"/>
    </font>
    <font>
      <sz val="11"/>
      <color theme="0"/>
      <name val="LMG-Arun"/>
    </font>
    <font>
      <sz val="20"/>
      <color theme="0"/>
      <name val="LMG-Arun"/>
    </font>
    <font>
      <sz val="18"/>
      <color theme="1"/>
      <name val="Guj_Diamond_SULEKH"/>
    </font>
    <font>
      <sz val="18"/>
      <color theme="1"/>
      <name val="Calibri"/>
      <family val="5"/>
    </font>
    <font>
      <sz val="16"/>
      <color rgb="FF000000"/>
      <name val="LMG-Arun"/>
    </font>
    <font>
      <sz val="16"/>
      <color rgb="FF000000"/>
      <name val="Calibri"/>
      <family val="2"/>
      <scheme val="minor"/>
    </font>
    <font>
      <sz val="16"/>
      <color rgb="FF0000FF"/>
      <name val="Guj_Regular_Bold_SULEKH"/>
    </font>
    <font>
      <b/>
      <sz val="16"/>
      <color rgb="FF0000FF"/>
      <name val="Guj_Regular_Bold_SULEKH"/>
    </font>
    <font>
      <b/>
      <sz val="16"/>
      <color rgb="FF002060"/>
      <name val="Bhaskar_Guj_Head"/>
    </font>
    <font>
      <b/>
      <sz val="16"/>
      <color theme="1"/>
      <name val="Bhaskar_Guj_Head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/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medium">
        <color rgb="FF7030A0"/>
      </right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945066682943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/>
      <right/>
      <top style="thin">
        <color rgb="FF7030A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7030A0"/>
      </left>
      <right style="thin">
        <color theme="9" tint="-0.24994659260841701"/>
      </right>
      <top style="thick">
        <color rgb="FF7030A0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ck">
        <color rgb="FF7030A0"/>
      </top>
      <bottom style="thin">
        <color theme="9" tint="-0.24994659260841701"/>
      </bottom>
      <diagonal/>
    </border>
    <border>
      <left style="thin">
        <color theme="9" tint="-0.24994659260841701"/>
      </left>
      <right style="thick">
        <color rgb="FF7030A0"/>
      </right>
      <top style="thick">
        <color rgb="FF7030A0"/>
      </top>
      <bottom style="thin">
        <color theme="9" tint="-0.24994659260841701"/>
      </bottom>
      <diagonal/>
    </border>
    <border>
      <left style="thick">
        <color rgb="FF7030A0"/>
      </left>
      <right style="thin">
        <color theme="9" tint="-0.24994659260841701"/>
      </right>
      <top style="thin">
        <color theme="9" tint="-0.24994659260841701"/>
      </top>
      <bottom style="thick">
        <color rgb="FF7030A0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ck">
        <color rgb="FF7030A0"/>
      </bottom>
      <diagonal/>
    </border>
    <border>
      <left style="thin">
        <color theme="9" tint="-0.24994659260841701"/>
      </left>
      <right style="thick">
        <color rgb="FF7030A0"/>
      </right>
      <top style="thin">
        <color theme="9" tint="-0.24994659260841701"/>
      </top>
      <bottom style="thick">
        <color rgb="FF7030A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66"/>
      </left>
      <right style="medium">
        <color rgb="FF000066"/>
      </right>
      <top style="medium">
        <color rgb="FF000066"/>
      </top>
      <bottom style="medium">
        <color rgb="FF00006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ck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660066"/>
      </left>
      <right style="thin">
        <color rgb="FF660066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3" tint="0.39991454817346722"/>
      </top>
      <bottom style="thin">
        <color theme="3" tint="0.39991454817346722"/>
      </bottom>
      <diagonal/>
    </border>
    <border>
      <left style="thick">
        <color rgb="FF660066"/>
      </left>
      <right/>
      <top style="thick">
        <color rgb="FF660066"/>
      </top>
      <bottom/>
      <diagonal/>
    </border>
    <border>
      <left/>
      <right/>
      <top style="thick">
        <color rgb="FF660066"/>
      </top>
      <bottom/>
      <diagonal/>
    </border>
    <border>
      <left/>
      <right style="thick">
        <color rgb="FF660066"/>
      </right>
      <top style="thick">
        <color rgb="FF660066"/>
      </top>
      <bottom/>
      <diagonal/>
    </border>
    <border>
      <left style="thick">
        <color rgb="FF660066"/>
      </left>
      <right/>
      <top/>
      <bottom style="thick">
        <color rgb="FF660066"/>
      </bottom>
      <diagonal/>
    </border>
    <border>
      <left/>
      <right/>
      <top/>
      <bottom style="thick">
        <color rgb="FF660066"/>
      </bottom>
      <diagonal/>
    </border>
    <border>
      <left/>
      <right style="thick">
        <color rgb="FF660066"/>
      </right>
      <top/>
      <bottom style="thick">
        <color rgb="FF660066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auto="1"/>
      </right>
      <top/>
      <bottom style="thick">
        <color indexed="64"/>
      </bottom>
      <diagonal/>
    </border>
    <border>
      <left/>
      <right style="medium">
        <color auto="1"/>
      </right>
      <top style="thick">
        <color indexed="64"/>
      </top>
      <bottom/>
      <diagonal/>
    </border>
  </borders>
  <cellStyleXfs count="3">
    <xf numFmtId="0" fontId="0" fillId="0" borderId="0"/>
    <xf numFmtId="0" fontId="38" fillId="13" borderId="0" applyNumberFormat="0" applyBorder="0" applyAlignment="0" applyProtection="0"/>
    <xf numFmtId="0" fontId="37" fillId="14" borderId="0" applyNumberFormat="0" applyBorder="0" applyAlignment="0" applyProtection="0"/>
  </cellStyleXfs>
  <cellXfs count="468">
    <xf numFmtId="0" fontId="0" fillId="0" borderId="0" xfId="0"/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6" fillId="0" borderId="0" xfId="0" applyFont="1" applyAlignment="1">
      <alignment wrapText="1"/>
    </xf>
    <xf numFmtId="2" fontId="18" fillId="0" borderId="4" xfId="0" applyNumberFormat="1" applyFont="1" applyBorder="1" applyAlignment="1" applyProtection="1">
      <alignment horizontal="center" vertical="center"/>
      <protection hidden="1"/>
    </xf>
    <xf numFmtId="2" fontId="18" fillId="0" borderId="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Protection="1">
      <protection locked="0"/>
    </xf>
    <xf numFmtId="2" fontId="19" fillId="0" borderId="4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/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1" fillId="0" borderId="8" xfId="0" applyFont="1" applyBorder="1" applyAlignment="1" applyProtection="1">
      <alignment horizontal="center" vertical="center"/>
      <protection locked="0"/>
    </xf>
    <xf numFmtId="0" fontId="41" fillId="0" borderId="8" xfId="0" applyFont="1" applyBorder="1" applyAlignment="1" applyProtection="1">
      <alignment horizontal="center" vertical="center" wrapText="1"/>
      <protection locked="0"/>
    </xf>
    <xf numFmtId="0" fontId="41" fillId="0" borderId="13" xfId="0" applyFont="1" applyBorder="1" applyAlignment="1" applyProtection="1">
      <alignment horizontal="center" vertical="center"/>
      <protection locked="0"/>
    </xf>
    <xf numFmtId="0" fontId="41" fillId="0" borderId="12" xfId="0" applyFont="1" applyBorder="1" applyAlignment="1" applyProtection="1">
      <alignment horizontal="center" vertical="center"/>
      <protection locked="0"/>
    </xf>
    <xf numFmtId="165" fontId="44" fillId="0" borderId="9" xfId="0" applyNumberFormat="1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  <xf numFmtId="165" fontId="44" fillId="0" borderId="16" xfId="0" applyNumberFormat="1" applyFont="1" applyBorder="1" applyAlignment="1" applyProtection="1">
      <alignment horizontal="center" vertical="center" wrapText="1"/>
      <protection locked="0"/>
    </xf>
    <xf numFmtId="0" fontId="28" fillId="0" borderId="9" xfId="0" applyFont="1" applyBorder="1" applyAlignment="1" applyProtection="1">
      <alignment horizontal="center" vertical="center" wrapText="1"/>
      <protection locked="0"/>
    </xf>
    <xf numFmtId="165" fontId="0" fillId="0" borderId="8" xfId="0" applyNumberFormat="1" applyBorder="1" applyAlignment="1" applyProtection="1">
      <alignment horizontal="center" vertical="center"/>
      <protection locked="0"/>
    </xf>
    <xf numFmtId="165" fontId="0" fillId="0" borderId="12" xfId="0" applyNumberFormat="1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 vertical="center"/>
      <protection hidden="1"/>
    </xf>
    <xf numFmtId="0" fontId="1" fillId="15" borderId="8" xfId="0" applyFont="1" applyFill="1" applyBorder="1" applyAlignment="1" applyProtection="1">
      <alignment horizontal="center" vertical="center"/>
      <protection locked="0"/>
    </xf>
    <xf numFmtId="2" fontId="1" fillId="16" borderId="8" xfId="0" applyNumberFormat="1" applyFont="1" applyFill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2" fontId="1" fillId="8" borderId="8" xfId="0" applyNumberFormat="1" applyFont="1" applyFill="1" applyBorder="1" applyAlignment="1" applyProtection="1">
      <alignment horizontal="center" vertical="center"/>
      <protection locked="0"/>
    </xf>
    <xf numFmtId="2" fontId="1" fillId="0" borderId="8" xfId="0" applyNumberFormat="1" applyFont="1" applyBorder="1" applyAlignment="1" applyProtection="1">
      <alignment horizontal="center" vertical="center"/>
      <protection locked="0"/>
    </xf>
    <xf numFmtId="2" fontId="1" fillId="0" borderId="13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42" fillId="12" borderId="8" xfId="0" applyFont="1" applyFill="1" applyBorder="1" applyAlignment="1" applyProtection="1">
      <alignment horizontal="center" vertical="center"/>
      <protection locked="0"/>
    </xf>
    <xf numFmtId="0" fontId="43" fillId="0" borderId="8" xfId="0" applyFont="1" applyBorder="1" applyAlignment="1" applyProtection="1">
      <alignment horizontal="center" vertical="center"/>
      <protection locked="0"/>
    </xf>
    <xf numFmtId="2" fontId="43" fillId="0" borderId="8" xfId="0" applyNumberFormat="1" applyFont="1" applyBorder="1" applyAlignment="1" applyProtection="1">
      <alignment horizontal="center" vertical="center"/>
      <protection hidden="1"/>
    </xf>
    <xf numFmtId="165" fontId="0" fillId="0" borderId="17" xfId="0" applyNumberForma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165" fontId="0" fillId="0" borderId="19" xfId="0" applyNumberFormat="1" applyBorder="1" applyAlignment="1" applyProtection="1">
      <alignment horizontal="center" vertical="center"/>
      <protection locked="0"/>
    </xf>
    <xf numFmtId="0" fontId="42" fillId="12" borderId="17" xfId="0" applyFont="1" applyFill="1" applyBorder="1" applyAlignment="1" applyProtection="1">
      <alignment horizontal="center" vertical="center"/>
      <protection locked="0"/>
    </xf>
    <xf numFmtId="165" fontId="44" fillId="0" borderId="8" xfId="0" applyNumberFormat="1" applyFont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165" fontId="44" fillId="0" borderId="12" xfId="0" applyNumberFormat="1" applyFont="1" applyBorder="1" applyAlignment="1" applyProtection="1">
      <alignment horizontal="center" vertical="center" wrapText="1"/>
      <protection locked="0"/>
    </xf>
    <xf numFmtId="0" fontId="28" fillId="0" borderId="8" xfId="0" applyFont="1" applyBorder="1" applyAlignment="1" applyProtection="1">
      <alignment horizontal="center" vertical="center" wrapText="1"/>
      <protection locked="0"/>
    </xf>
    <xf numFmtId="0" fontId="29" fillId="0" borderId="8" xfId="0" applyFont="1" applyBorder="1" applyAlignment="1" applyProtection="1">
      <alignment horizontal="center" vertical="center"/>
      <protection locked="0"/>
    </xf>
    <xf numFmtId="0" fontId="6" fillId="15" borderId="8" xfId="0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47" fillId="0" borderId="8" xfId="0" applyFont="1" applyBorder="1" applyAlignment="1" applyProtection="1">
      <alignment horizontal="center" vertical="center" wrapText="1"/>
      <protection locked="0"/>
    </xf>
    <xf numFmtId="0" fontId="50" fillId="0" borderId="8" xfId="0" applyFont="1" applyBorder="1" applyAlignment="1" applyProtection="1">
      <alignment horizontal="center" vertical="center"/>
      <protection locked="0"/>
    </xf>
    <xf numFmtId="0" fontId="48" fillId="0" borderId="8" xfId="0" applyFont="1" applyBorder="1" applyAlignment="1" applyProtection="1">
      <alignment horizontal="center" vertical="center" wrapText="1"/>
      <protection locked="0"/>
    </xf>
    <xf numFmtId="2" fontId="1" fillId="0" borderId="8" xfId="0" applyNumberFormat="1" applyFont="1" applyBorder="1" applyAlignment="1" applyProtection="1">
      <alignment horizontal="center" vertical="center"/>
      <protection hidden="1"/>
    </xf>
    <xf numFmtId="1" fontId="44" fillId="0" borderId="8" xfId="0" applyNumberFormat="1" applyFont="1" applyBorder="1" applyAlignment="1" applyProtection="1">
      <alignment horizontal="center" vertical="center" wrapText="1"/>
      <protection locked="0"/>
    </xf>
    <xf numFmtId="0" fontId="1" fillId="12" borderId="8" xfId="0" applyFont="1" applyFill="1" applyBorder="1" applyAlignment="1" applyProtection="1">
      <alignment horizontal="center" vertical="center"/>
      <protection locked="0"/>
    </xf>
    <xf numFmtId="165" fontId="20" fillId="0" borderId="5" xfId="0" applyNumberFormat="1" applyFont="1" applyBorder="1" applyAlignment="1">
      <alignment horizontal="center" vertical="center"/>
    </xf>
    <xf numFmtId="2" fontId="51" fillId="0" borderId="5" xfId="0" applyNumberFormat="1" applyFont="1" applyBorder="1" applyAlignment="1">
      <alignment horizontal="center"/>
    </xf>
    <xf numFmtId="165" fontId="20" fillId="0" borderId="5" xfId="0" applyNumberFormat="1" applyFont="1" applyBorder="1" applyAlignment="1">
      <alignment horizontal="center"/>
    </xf>
    <xf numFmtId="0" fontId="41" fillId="0" borderId="10" xfId="0" applyFont="1" applyBorder="1" applyAlignment="1" applyProtection="1">
      <alignment horizontal="center" vertical="center"/>
      <protection locked="0"/>
    </xf>
    <xf numFmtId="2" fontId="0" fillId="0" borderId="10" xfId="0" applyNumberFormat="1" applyBorder="1" applyAlignment="1" applyProtection="1">
      <alignment horizontal="center" vertical="center"/>
      <protection locked="0"/>
    </xf>
    <xf numFmtId="2" fontId="1" fillId="16" borderId="10" xfId="0" applyNumberFormat="1" applyFont="1" applyFill="1" applyBorder="1" applyAlignment="1" applyProtection="1">
      <alignment horizontal="center" vertical="center"/>
      <protection hidden="1"/>
    </xf>
    <xf numFmtId="2" fontId="1" fillId="0" borderId="10" xfId="0" applyNumberFormat="1" applyFont="1" applyBorder="1" applyAlignment="1" applyProtection="1">
      <alignment horizontal="center" vertical="center"/>
      <protection locked="0"/>
    </xf>
    <xf numFmtId="2" fontId="1" fillId="8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41" fillId="0" borderId="21" xfId="0" applyFont="1" applyBorder="1" applyAlignment="1" applyProtection="1">
      <alignment horizontal="center" vertical="center"/>
      <protection locked="0"/>
    </xf>
    <xf numFmtId="165" fontId="44" fillId="0" borderId="21" xfId="0" applyNumberFormat="1" applyFont="1" applyBorder="1" applyAlignment="1" applyProtection="1">
      <alignment horizontal="center" vertical="center" wrapText="1"/>
      <protection locked="0"/>
    </xf>
    <xf numFmtId="165" fontId="0" fillId="0" borderId="21" xfId="0" applyNumberForma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165" fontId="49" fillId="0" borderId="8" xfId="0" applyNumberFormat="1" applyFont="1" applyBorder="1" applyAlignment="1" applyProtection="1">
      <alignment horizontal="center" vertical="center" wrapText="1"/>
      <protection locked="0"/>
    </xf>
    <xf numFmtId="165" fontId="52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2" fontId="55" fillId="0" borderId="0" xfId="0" applyNumberFormat="1" applyFont="1" applyAlignment="1">
      <alignment horizontal="center"/>
    </xf>
    <xf numFmtId="165" fontId="52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/>
    </xf>
    <xf numFmtId="2" fontId="52" fillId="0" borderId="0" xfId="0" applyNumberFormat="1" applyFont="1" applyAlignment="1">
      <alignment horizontal="center"/>
    </xf>
    <xf numFmtId="165" fontId="20" fillId="0" borderId="22" xfId="0" applyNumberFormat="1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2" fontId="51" fillId="0" borderId="22" xfId="0" applyNumberFormat="1" applyFont="1" applyBorder="1" applyAlignment="1">
      <alignment horizontal="center"/>
    </xf>
    <xf numFmtId="165" fontId="20" fillId="0" borderId="22" xfId="0" applyNumberFormat="1" applyFont="1" applyBorder="1" applyAlignment="1">
      <alignment horizontal="center" vertical="center"/>
    </xf>
    <xf numFmtId="0" fontId="26" fillId="0" borderId="22" xfId="0" applyFont="1" applyBorder="1"/>
    <xf numFmtId="165" fontId="20" fillId="0" borderId="24" xfId="0" applyNumberFormat="1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2" fontId="51" fillId="0" borderId="24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165" fontId="20" fillId="0" borderId="24" xfId="0" applyNumberFormat="1" applyFont="1" applyBorder="1" applyAlignment="1">
      <alignment horizontal="center" vertical="center"/>
    </xf>
    <xf numFmtId="0" fontId="26" fillId="0" borderId="24" xfId="0" applyFont="1" applyBorder="1"/>
    <xf numFmtId="2" fontId="51" fillId="0" borderId="23" xfId="0" applyNumberFormat="1" applyFont="1" applyBorder="1" applyAlignment="1">
      <alignment horizontal="center"/>
    </xf>
    <xf numFmtId="165" fontId="52" fillId="0" borderId="24" xfId="0" applyNumberFormat="1" applyFont="1" applyBorder="1" applyAlignment="1">
      <alignment horizontal="center"/>
    </xf>
    <xf numFmtId="0" fontId="53" fillId="0" borderId="24" xfId="0" applyFont="1" applyBorder="1" applyAlignment="1">
      <alignment horizontal="center"/>
    </xf>
    <xf numFmtId="0" fontId="54" fillId="0" borderId="24" xfId="0" applyFont="1" applyBorder="1" applyAlignment="1">
      <alignment horizontal="center"/>
    </xf>
    <xf numFmtId="2" fontId="55" fillId="0" borderId="24" xfId="0" applyNumberFormat="1" applyFont="1" applyBorder="1" applyAlignment="1">
      <alignment horizontal="center"/>
    </xf>
    <xf numFmtId="2" fontId="63" fillId="0" borderId="5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/>
    </xf>
    <xf numFmtId="0" fontId="65" fillId="6" borderId="7" xfId="0" applyFont="1" applyFill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33" fillId="5" borderId="7" xfId="0" applyFont="1" applyFill="1" applyBorder="1" applyAlignment="1">
      <alignment horizontal="center" vertical="center"/>
    </xf>
    <xf numFmtId="0" fontId="34" fillId="5" borderId="7" xfId="0" applyFont="1" applyFill="1" applyBorder="1" applyAlignment="1">
      <alignment horizontal="center" vertical="center" wrapText="1"/>
    </xf>
    <xf numFmtId="0" fontId="34" fillId="5" borderId="7" xfId="0" applyFont="1" applyFill="1" applyBorder="1" applyAlignment="1">
      <alignment horizontal="center" vertical="center"/>
    </xf>
    <xf numFmtId="0" fontId="36" fillId="5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6" fillId="0" borderId="8" xfId="0" applyFont="1" applyBorder="1" applyAlignment="1" applyProtection="1">
      <alignment horizontal="center" vertical="center"/>
      <protection locked="0"/>
    </xf>
    <xf numFmtId="0" fontId="6" fillId="12" borderId="8" xfId="0" applyFont="1" applyFill="1" applyBorder="1" applyAlignment="1" applyProtection="1">
      <alignment horizontal="center" vertical="center"/>
      <protection locked="0"/>
    </xf>
    <xf numFmtId="2" fontId="70" fillId="0" borderId="24" xfId="0" applyNumberFormat="1" applyFont="1" applyBorder="1" applyAlignment="1">
      <alignment horizontal="center"/>
    </xf>
    <xf numFmtId="165" fontId="36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5" fillId="12" borderId="4" xfId="0" applyFont="1" applyFill="1" applyBorder="1" applyAlignment="1" applyProtection="1">
      <alignment horizontal="center" vertical="center"/>
      <protection locked="0"/>
    </xf>
    <xf numFmtId="0" fontId="72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68" fillId="0" borderId="8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165" fontId="66" fillId="0" borderId="8" xfId="0" applyNumberFormat="1" applyFont="1" applyBorder="1" applyAlignment="1" applyProtection="1">
      <alignment horizontal="center" vertical="center" wrapText="1"/>
      <protection locked="0"/>
    </xf>
    <xf numFmtId="165" fontId="0" fillId="0" borderId="15" xfId="0" applyNumberFormat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42" fillId="12" borderId="15" xfId="0" applyFont="1" applyFill="1" applyBorder="1" applyAlignment="1" applyProtection="1">
      <alignment horizontal="center" vertical="center"/>
      <protection locked="0"/>
    </xf>
    <xf numFmtId="2" fontId="43" fillId="0" borderId="15" xfId="0" applyNumberFormat="1" applyFont="1" applyBorder="1" applyAlignment="1" applyProtection="1">
      <alignment horizontal="center" vertical="center"/>
      <protection hidden="1"/>
    </xf>
    <xf numFmtId="0" fontId="67" fillId="0" borderId="8" xfId="0" applyFont="1" applyBorder="1" applyAlignment="1" applyProtection="1">
      <alignment horizontal="center" vertical="center"/>
      <protection locked="0"/>
    </xf>
    <xf numFmtId="2" fontId="0" fillId="0" borderId="0" xfId="0" applyNumberFormat="1"/>
    <xf numFmtId="2" fontId="1" fillId="0" borderId="10" xfId="0" applyNumberFormat="1" applyFont="1" applyBorder="1" applyAlignment="1" applyProtection="1">
      <alignment horizontal="center" vertical="center"/>
      <protection hidden="1"/>
    </xf>
    <xf numFmtId="2" fontId="72" fillId="0" borderId="8" xfId="0" applyNumberFormat="1" applyFont="1" applyBorder="1" applyAlignment="1" applyProtection="1">
      <alignment horizontal="center" vertical="center"/>
      <protection locked="0"/>
    </xf>
    <xf numFmtId="14" fontId="76" fillId="0" borderId="0" xfId="0" applyNumberFormat="1" applyFont="1" applyAlignment="1">
      <alignment horizontal="center" vertical="center" wrapText="1"/>
    </xf>
    <xf numFmtId="0" fontId="15" fillId="5" borderId="29" xfId="0" applyFont="1" applyFill="1" applyBorder="1" applyAlignment="1">
      <alignment horizontal="center" vertical="center" wrapText="1"/>
    </xf>
    <xf numFmtId="0" fontId="15" fillId="5" borderId="29" xfId="0" applyFont="1" applyFill="1" applyBorder="1" applyAlignment="1">
      <alignment horizontal="center" vertical="center"/>
    </xf>
    <xf numFmtId="0" fontId="77" fillId="0" borderId="29" xfId="0" applyFont="1" applyBorder="1" applyAlignment="1">
      <alignment horizontal="center" vertical="center" wrapText="1"/>
    </xf>
    <xf numFmtId="165" fontId="27" fillId="0" borderId="29" xfId="0" applyNumberFormat="1" applyFont="1" applyBorder="1" applyAlignment="1">
      <alignment horizontal="center" vertical="center"/>
    </xf>
    <xf numFmtId="2" fontId="27" fillId="0" borderId="29" xfId="0" applyNumberFormat="1" applyFont="1" applyBorder="1" applyAlignment="1">
      <alignment horizontal="center" vertical="center"/>
    </xf>
    <xf numFmtId="164" fontId="25" fillId="0" borderId="29" xfId="0" applyNumberFormat="1" applyFont="1" applyBorder="1" applyAlignment="1">
      <alignment horizontal="center" vertical="top" wrapText="1"/>
    </xf>
    <xf numFmtId="0" fontId="26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2" fillId="0" borderId="29" xfId="0" applyFont="1" applyBorder="1" applyAlignment="1">
      <alignment horizontal="center" vertical="center" wrapText="1"/>
    </xf>
    <xf numFmtId="0" fontId="0" fillId="0" borderId="29" xfId="0" applyBorder="1"/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 applyProtection="1">
      <alignment horizontal="center" vertical="center"/>
      <protection locked="0"/>
    </xf>
    <xf numFmtId="0" fontId="13" fillId="0" borderId="29" xfId="0" applyFont="1" applyBorder="1" applyAlignment="1">
      <alignment horizontal="center" vertical="center" wrapText="1"/>
    </xf>
    <xf numFmtId="2" fontId="80" fillId="0" borderId="29" xfId="0" applyNumberFormat="1" applyFont="1" applyBorder="1" applyAlignment="1">
      <alignment horizontal="center" vertical="center"/>
    </xf>
    <xf numFmtId="2" fontId="81" fillId="0" borderId="29" xfId="0" applyNumberFormat="1" applyFont="1" applyBorder="1" applyAlignment="1">
      <alignment horizontal="center" vertical="center"/>
    </xf>
    <xf numFmtId="2" fontId="82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165" fontId="0" fillId="0" borderId="10" xfId="0" applyNumberFormat="1" applyBorder="1" applyAlignment="1" applyProtection="1">
      <alignment horizontal="center" vertical="center"/>
      <protection locked="0"/>
    </xf>
    <xf numFmtId="165" fontId="0" fillId="0" borderId="11" xfId="0" applyNumberFormat="1" applyBorder="1" applyAlignment="1" applyProtection="1">
      <alignment horizontal="center" vertical="center"/>
      <protection locked="0"/>
    </xf>
    <xf numFmtId="0" fontId="67" fillId="0" borderId="8" xfId="0" applyFont="1" applyBorder="1" applyAlignment="1" applyProtection="1">
      <alignment horizontal="right" vertical="center"/>
      <protection locked="0"/>
    </xf>
    <xf numFmtId="0" fontId="68" fillId="0" borderId="8" xfId="0" applyFont="1" applyBorder="1" applyAlignment="1" applyProtection="1">
      <alignment horizontal="center" vertical="center" wrapText="1"/>
      <protection locked="0"/>
    </xf>
    <xf numFmtId="0" fontId="67" fillId="0" borderId="8" xfId="0" applyFont="1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42" fillId="12" borderId="11" xfId="0" applyFont="1" applyFill="1" applyBorder="1" applyAlignment="1" applyProtection="1">
      <alignment horizontal="center" vertical="center"/>
      <protection locked="0"/>
    </xf>
    <xf numFmtId="2" fontId="61" fillId="0" borderId="11" xfId="0" applyNumberFormat="1" applyFont="1" applyBorder="1" applyAlignment="1" applyProtection="1">
      <alignment horizontal="center" vertical="center"/>
      <protection hidden="1"/>
    </xf>
    <xf numFmtId="2" fontId="43" fillId="0" borderId="11" xfId="0" applyNumberFormat="1" applyFont="1" applyBorder="1" applyAlignment="1" applyProtection="1">
      <alignment horizontal="center" vertical="center"/>
      <protection hidden="1"/>
    </xf>
    <xf numFmtId="2" fontId="43" fillId="0" borderId="12" xfId="0" applyNumberFormat="1" applyFont="1" applyBorder="1" applyAlignment="1" applyProtection="1">
      <alignment horizontal="center" vertical="center"/>
      <protection hidden="1"/>
    </xf>
    <xf numFmtId="2" fontId="36" fillId="0" borderId="7" xfId="0" applyNumberFormat="1" applyFont="1" applyBorder="1" applyAlignment="1">
      <alignment horizontal="center" vertical="center"/>
    </xf>
    <xf numFmtId="0" fontId="5" fillId="0" borderId="2" xfId="0" applyFont="1" applyBorder="1" applyAlignment="1" applyProtection="1">
      <alignment vertical="center"/>
      <protection locked="0"/>
    </xf>
    <xf numFmtId="0" fontId="84" fillId="0" borderId="1" xfId="0" applyFont="1" applyBorder="1" applyAlignment="1" applyProtection="1">
      <alignment horizontal="right" vertical="center"/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15" fillId="0" borderId="42" xfId="0" applyFont="1" applyBorder="1" applyAlignment="1" applyProtection="1">
      <alignment horizontal="center" vertical="center"/>
      <protection locked="0"/>
    </xf>
    <xf numFmtId="0" fontId="15" fillId="0" borderId="42" xfId="0" applyFont="1" applyBorder="1" applyAlignment="1" applyProtection="1">
      <alignment horizontal="center" vertical="center" wrapText="1"/>
      <protection locked="0"/>
    </xf>
    <xf numFmtId="0" fontId="87" fillId="0" borderId="42" xfId="0" applyFont="1" applyBorder="1" applyAlignment="1">
      <alignment horizontal="center" vertical="center"/>
    </xf>
    <xf numFmtId="0" fontId="89" fillId="0" borderId="42" xfId="0" applyFont="1" applyBorder="1" applyAlignment="1" applyProtection="1">
      <alignment horizontal="center" vertical="center" wrapText="1"/>
      <protection locked="0"/>
    </xf>
    <xf numFmtId="0" fontId="90" fillId="0" borderId="42" xfId="0" applyFont="1" applyBorder="1" applyAlignment="1" applyProtection="1">
      <alignment horizontal="center" vertical="center"/>
      <protection locked="0"/>
    </xf>
    <xf numFmtId="16" fontId="5" fillId="0" borderId="42" xfId="0" applyNumberFormat="1" applyFont="1" applyBorder="1" applyAlignment="1">
      <alignment horizontal="center" vertical="center"/>
    </xf>
    <xf numFmtId="165" fontId="36" fillId="0" borderId="42" xfId="0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 wrapText="1"/>
    </xf>
    <xf numFmtId="0" fontId="2" fillId="0" borderId="42" xfId="0" applyFont="1" applyBorder="1" applyAlignment="1" applyProtection="1">
      <alignment horizontal="center" vertical="center"/>
      <protection locked="0"/>
    </xf>
    <xf numFmtId="2" fontId="36" fillId="0" borderId="42" xfId="0" applyNumberFormat="1" applyFont="1" applyBorder="1" applyAlignment="1">
      <alignment horizontal="center" vertical="center"/>
    </xf>
    <xf numFmtId="2" fontId="18" fillId="0" borderId="42" xfId="0" applyNumberFormat="1" applyFont="1" applyBorder="1" applyAlignment="1" applyProtection="1">
      <alignment horizontal="center" vertical="center"/>
      <protection locked="0"/>
    </xf>
    <xf numFmtId="0" fontId="13" fillId="0" borderId="42" xfId="0" applyFont="1" applyBorder="1" applyAlignment="1">
      <alignment horizontal="center" vertical="center"/>
    </xf>
    <xf numFmtId="16" fontId="2" fillId="0" borderId="42" xfId="0" applyNumberFormat="1" applyFont="1" applyBorder="1" applyAlignment="1">
      <alignment horizontal="center" vertical="center"/>
    </xf>
    <xf numFmtId="2" fontId="91" fillId="0" borderId="42" xfId="0" applyNumberFormat="1" applyFont="1" applyBorder="1" applyAlignment="1" applyProtection="1">
      <alignment horizontal="center" vertical="center"/>
      <protection hidden="1"/>
    </xf>
    <xf numFmtId="0" fontId="0" fillId="0" borderId="42" xfId="0" applyBorder="1" applyProtection="1">
      <protection locked="0"/>
    </xf>
    <xf numFmtId="0" fontId="2" fillId="0" borderId="42" xfId="0" applyFont="1" applyBorder="1" applyAlignment="1" applyProtection="1">
      <alignment horizontal="center" vertical="center" wrapText="1"/>
      <protection locked="0"/>
    </xf>
    <xf numFmtId="0" fontId="2" fillId="0" borderId="42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2" fontId="92" fillId="0" borderId="42" xfId="0" applyNumberFormat="1" applyFont="1" applyBorder="1" applyAlignment="1">
      <alignment horizontal="center" vertical="center"/>
    </xf>
    <xf numFmtId="16" fontId="25" fillId="0" borderId="42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49" fontId="0" fillId="0" borderId="0" xfId="0" applyNumberFormat="1"/>
    <xf numFmtId="0" fontId="106" fillId="0" borderId="6" xfId="0" applyFont="1" applyBorder="1"/>
    <xf numFmtId="0" fontId="15" fillId="0" borderId="6" xfId="0" applyFont="1" applyBorder="1" applyAlignment="1">
      <alignment horizontal="center"/>
    </xf>
    <xf numFmtId="0" fontId="0" fillId="0" borderId="6" xfId="0" applyBorder="1"/>
    <xf numFmtId="0" fontId="46" fillId="0" borderId="6" xfId="0" applyFont="1" applyBorder="1" applyAlignment="1">
      <alignment vertical="center"/>
    </xf>
    <xf numFmtId="0" fontId="108" fillId="0" borderId="6" xfId="0" applyFont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center"/>
      <protection locked="0"/>
    </xf>
    <xf numFmtId="0" fontId="7" fillId="9" borderId="26" xfId="0" applyFont="1" applyFill="1" applyBorder="1" applyAlignment="1" applyProtection="1">
      <alignment horizontal="center" vertical="center"/>
      <protection locked="0"/>
    </xf>
    <xf numFmtId="49" fontId="100" fillId="21" borderId="26" xfId="0" applyNumberFormat="1" applyFont="1" applyFill="1" applyBorder="1" applyAlignment="1">
      <alignment horizontal="center"/>
    </xf>
    <xf numFmtId="0" fontId="101" fillId="20" borderId="26" xfId="0" applyFont="1" applyFill="1" applyBorder="1" applyAlignment="1">
      <alignment horizontal="center"/>
    </xf>
    <xf numFmtId="0" fontId="98" fillId="0" borderId="38" xfId="0" applyFont="1" applyBorder="1" applyAlignment="1">
      <alignment horizontal="center"/>
    </xf>
    <xf numFmtId="0" fontId="99" fillId="0" borderId="38" xfId="0" applyFont="1" applyBorder="1" applyAlignment="1">
      <alignment horizontal="center"/>
    </xf>
    <xf numFmtId="1" fontId="100" fillId="0" borderId="38" xfId="0" applyNumberFormat="1" applyFont="1" applyBorder="1" applyAlignment="1">
      <alignment horizontal="center"/>
    </xf>
    <xf numFmtId="0" fontId="101" fillId="0" borderId="38" xfId="0" applyFont="1" applyBorder="1" applyAlignment="1">
      <alignment horizontal="center"/>
    </xf>
    <xf numFmtId="1" fontId="103" fillId="0" borderId="38" xfId="0" applyNumberFormat="1" applyFont="1" applyBorder="1" applyAlignment="1">
      <alignment horizontal="center"/>
    </xf>
    <xf numFmtId="0" fontId="0" fillId="0" borderId="36" xfId="0" applyBorder="1"/>
    <xf numFmtId="0" fontId="110" fillId="0" borderId="26" xfId="0" applyFont="1" applyBorder="1"/>
    <xf numFmtId="0" fontId="0" fillId="0" borderId="26" xfId="0" applyBorder="1"/>
    <xf numFmtId="0" fontId="115" fillId="0" borderId="26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16" fillId="0" borderId="26" xfId="0" applyFont="1" applyBorder="1" applyAlignment="1">
      <alignment horizontal="center" vertical="center" wrapText="1"/>
    </xf>
    <xf numFmtId="0" fontId="110" fillId="0" borderId="26" xfId="0" applyFont="1" applyBorder="1" applyAlignment="1">
      <alignment horizontal="center" vertical="center" wrapText="1"/>
    </xf>
    <xf numFmtId="0" fontId="13" fillId="0" borderId="26" xfId="0" applyFont="1" applyBorder="1" applyAlignment="1">
      <alignment vertical="center" wrapText="1"/>
    </xf>
    <xf numFmtId="2" fontId="1" fillId="0" borderId="13" xfId="0" applyNumberFormat="1" applyFont="1" applyBorder="1" applyAlignment="1" applyProtection="1">
      <alignment horizontal="center" vertical="center"/>
      <protection hidden="1"/>
    </xf>
    <xf numFmtId="2" fontId="59" fillId="0" borderId="8" xfId="0" applyNumberFormat="1" applyFont="1" applyBorder="1" applyAlignment="1" applyProtection="1">
      <alignment horizontal="center" vertical="center"/>
      <protection locked="0"/>
    </xf>
    <xf numFmtId="0" fontId="29" fillId="0" borderId="8" xfId="0" applyFont="1" applyBorder="1" applyAlignment="1" applyProtection="1">
      <alignment horizontal="center" vertical="center" wrapText="1"/>
      <protection locked="0"/>
    </xf>
    <xf numFmtId="2" fontId="80" fillId="0" borderId="7" xfId="0" applyNumberFormat="1" applyFont="1" applyBorder="1" applyAlignment="1">
      <alignment horizontal="center" vertical="center"/>
    </xf>
    <xf numFmtId="16" fontId="25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 wrapText="1"/>
      <protection locked="0"/>
    </xf>
    <xf numFmtId="2" fontId="107" fillId="0" borderId="6" xfId="0" applyNumberFormat="1" applyFont="1" applyBorder="1" applyAlignment="1">
      <alignment horizontal="right"/>
    </xf>
    <xf numFmtId="2" fontId="109" fillId="0" borderId="6" xfId="0" applyNumberFormat="1" applyFont="1" applyBorder="1" applyAlignment="1">
      <alignment horizontal="right" vertical="center"/>
    </xf>
    <xf numFmtId="2" fontId="119" fillId="0" borderId="42" xfId="0" applyNumberFormat="1" applyFont="1" applyBorder="1" applyAlignment="1">
      <alignment horizontal="center" vertical="center"/>
    </xf>
    <xf numFmtId="2" fontId="36" fillId="0" borderId="47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50" xfId="0" applyFont="1" applyBorder="1" applyAlignment="1" applyProtection="1">
      <alignment horizontal="center" vertical="center"/>
      <protection locked="0"/>
    </xf>
    <xf numFmtId="2" fontId="43" fillId="16" borderId="8" xfId="0" applyNumberFormat="1" applyFont="1" applyFill="1" applyBorder="1" applyAlignment="1" applyProtection="1">
      <alignment horizontal="center" vertical="center"/>
      <protection hidden="1"/>
    </xf>
    <xf numFmtId="2" fontId="45" fillId="19" borderId="8" xfId="0" applyNumberFormat="1" applyFont="1" applyFill="1" applyBorder="1" applyAlignment="1" applyProtection="1">
      <alignment horizontal="center" vertical="center"/>
      <protection hidden="1"/>
    </xf>
    <xf numFmtId="2" fontId="43" fillId="6" borderId="8" xfId="0" applyNumberFormat="1" applyFont="1" applyFill="1" applyBorder="1" applyAlignment="1" applyProtection="1">
      <alignment horizontal="center" vertical="center"/>
      <protection hidden="1"/>
    </xf>
    <xf numFmtId="2" fontId="61" fillId="6" borderId="8" xfId="0" applyNumberFormat="1" applyFont="1" applyFill="1" applyBorder="1" applyAlignment="1" applyProtection="1">
      <alignment horizontal="center" vertical="center"/>
      <protection hidden="1"/>
    </xf>
    <xf numFmtId="2" fontId="61" fillId="16" borderId="8" xfId="0" applyNumberFormat="1" applyFont="1" applyFill="1" applyBorder="1" applyAlignment="1" applyProtection="1">
      <alignment horizontal="center" vertical="center"/>
      <protection hidden="1"/>
    </xf>
    <xf numFmtId="2" fontId="46" fillId="19" borderId="8" xfId="0" applyNumberFormat="1" applyFont="1" applyFill="1" applyBorder="1" applyAlignment="1" applyProtection="1">
      <alignment horizontal="center" vertical="center"/>
      <protection hidden="1"/>
    </xf>
    <xf numFmtId="2" fontId="45" fillId="19" borderId="10" xfId="0" applyNumberFormat="1" applyFont="1" applyFill="1" applyBorder="1" applyAlignment="1" applyProtection="1">
      <alignment horizontal="center" vertical="center"/>
      <protection hidden="1"/>
    </xf>
    <xf numFmtId="2" fontId="45" fillId="19" borderId="13" xfId="0" applyNumberFormat="1" applyFont="1" applyFill="1" applyBorder="1" applyAlignment="1" applyProtection="1">
      <alignment horizontal="center" vertical="center"/>
      <protection hidden="1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165" fontId="20" fillId="0" borderId="8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2" fontId="51" fillId="0" borderId="8" xfId="0" applyNumberFormat="1" applyFont="1" applyBorder="1" applyAlignment="1">
      <alignment horizontal="center"/>
    </xf>
    <xf numFmtId="165" fontId="20" fillId="0" borderId="8" xfId="0" applyNumberFormat="1" applyFont="1" applyBorder="1" applyAlignment="1">
      <alignment horizontal="center"/>
    </xf>
    <xf numFmtId="0" fontId="27" fillId="0" borderId="8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2" fontId="51" fillId="0" borderId="8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26" fillId="0" borderId="8" xfId="0" applyFont="1" applyBorder="1"/>
    <xf numFmtId="0" fontId="53" fillId="0" borderId="8" xfId="0" applyFont="1" applyBorder="1" applyAlignment="1">
      <alignment horizontal="center"/>
    </xf>
    <xf numFmtId="0" fontId="54" fillId="0" borderId="8" xfId="0" applyFont="1" applyBorder="1" applyAlignment="1">
      <alignment horizontal="center"/>
    </xf>
    <xf numFmtId="2" fontId="55" fillId="0" borderId="8" xfId="0" applyNumberFormat="1" applyFont="1" applyBorder="1" applyAlignment="1">
      <alignment horizontal="center"/>
    </xf>
    <xf numFmtId="2" fontId="52" fillId="0" borderId="8" xfId="0" applyNumberFormat="1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2" fontId="63" fillId="0" borderId="8" xfId="0" applyNumberFormat="1" applyFont="1" applyBorder="1" applyAlignment="1">
      <alignment horizontal="center"/>
    </xf>
    <xf numFmtId="0" fontId="25" fillId="0" borderId="8" xfId="0" applyFont="1" applyBorder="1"/>
    <xf numFmtId="0" fontId="54" fillId="0" borderId="8" xfId="0" applyFont="1" applyBorder="1" applyAlignment="1">
      <alignment horizontal="center" vertical="center"/>
    </xf>
    <xf numFmtId="2" fontId="55" fillId="0" borderId="8" xfId="0" applyNumberFormat="1" applyFont="1" applyBorder="1" applyAlignment="1">
      <alignment horizontal="center" vertical="center"/>
    </xf>
    <xf numFmtId="0" fontId="57" fillId="0" borderId="8" xfId="0" applyFont="1" applyBorder="1" applyAlignment="1">
      <alignment vertical="center"/>
    </xf>
    <xf numFmtId="0" fontId="54" fillId="0" borderId="0" xfId="0" applyFont="1" applyAlignment="1">
      <alignment horizontal="center" vertical="center"/>
    </xf>
    <xf numFmtId="2" fontId="55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2" fontId="70" fillId="0" borderId="0" xfId="0" applyNumberFormat="1" applyFont="1" applyAlignment="1">
      <alignment horizontal="center" vertical="center"/>
    </xf>
    <xf numFmtId="2" fontId="69" fillId="0" borderId="8" xfId="0" applyNumberFormat="1" applyFont="1" applyBorder="1" applyAlignment="1">
      <alignment horizontal="center"/>
    </xf>
    <xf numFmtId="2" fontId="64" fillId="0" borderId="8" xfId="0" applyNumberFormat="1" applyFont="1" applyBorder="1" applyAlignment="1">
      <alignment horizontal="center"/>
    </xf>
    <xf numFmtId="0" fontId="67" fillId="0" borderId="8" xfId="0" applyFont="1" applyBorder="1" applyAlignment="1">
      <alignment vertical="center"/>
    </xf>
    <xf numFmtId="2" fontId="27" fillId="0" borderId="8" xfId="0" applyNumberFormat="1" applyFont="1" applyBorder="1" applyAlignment="1">
      <alignment horizontal="center"/>
    </xf>
    <xf numFmtId="2" fontId="70" fillId="0" borderId="8" xfId="0" applyNumberFormat="1" applyFont="1" applyBorder="1" applyAlignment="1">
      <alignment horizontal="center"/>
    </xf>
    <xf numFmtId="0" fontId="57" fillId="0" borderId="8" xfId="0" applyFont="1" applyBorder="1"/>
    <xf numFmtId="0" fontId="0" fillId="0" borderId="20" xfId="0" applyBorder="1"/>
    <xf numFmtId="0" fontId="29" fillId="0" borderId="5" xfId="0" applyFont="1" applyBorder="1" applyAlignment="1">
      <alignment horizontal="center"/>
    </xf>
    <xf numFmtId="164" fontId="25" fillId="0" borderId="29" xfId="0" applyNumberFormat="1" applyFont="1" applyBorder="1" applyAlignment="1">
      <alignment horizontal="center" vertical="center" wrapText="1"/>
    </xf>
    <xf numFmtId="2" fontId="51" fillId="0" borderId="29" xfId="0" applyNumberFormat="1" applyFont="1" applyBorder="1" applyAlignment="1">
      <alignment horizontal="center" vertical="center"/>
    </xf>
    <xf numFmtId="2" fontId="63" fillId="0" borderId="29" xfId="0" applyNumberFormat="1" applyFont="1" applyBorder="1" applyAlignment="1">
      <alignment horizontal="center" vertical="center"/>
    </xf>
    <xf numFmtId="0" fontId="68" fillId="0" borderId="7" xfId="0" applyFont="1" applyBorder="1" applyAlignment="1">
      <alignment horizontal="center" vertical="center" wrapText="1"/>
    </xf>
    <xf numFmtId="2" fontId="70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6" fillId="0" borderId="40" xfId="0" applyFont="1" applyBorder="1"/>
    <xf numFmtId="0" fontId="4" fillId="0" borderId="36" xfId="0" applyFont="1" applyBorder="1"/>
    <xf numFmtId="0" fontId="0" fillId="0" borderId="41" xfId="0" applyBorder="1"/>
    <xf numFmtId="0" fontId="130" fillId="6" borderId="26" xfId="0" applyFont="1" applyFill="1" applyBorder="1" applyAlignment="1" applyProtection="1">
      <alignment horizontal="center" vertical="center"/>
      <protection locked="0"/>
    </xf>
    <xf numFmtId="0" fontId="131" fillId="0" borderId="0" xfId="0" applyFont="1" applyProtection="1">
      <protection locked="0"/>
    </xf>
    <xf numFmtId="0" fontId="130" fillId="2" borderId="26" xfId="0" applyFont="1" applyFill="1" applyBorder="1" applyAlignment="1" applyProtection="1">
      <alignment horizontal="center" vertical="center"/>
      <protection locked="0"/>
    </xf>
    <xf numFmtId="165" fontId="66" fillId="0" borderId="8" xfId="0" applyNumberFormat="1" applyFont="1" applyBorder="1" applyAlignment="1" applyProtection="1">
      <alignment horizontal="center" vertical="center"/>
      <protection locked="0"/>
    </xf>
    <xf numFmtId="0" fontId="50" fillId="0" borderId="8" xfId="0" applyFont="1" applyBorder="1" applyAlignment="1" applyProtection="1">
      <alignment horizontal="center" vertical="center" wrapText="1"/>
      <protection locked="0"/>
    </xf>
    <xf numFmtId="0" fontId="68" fillId="0" borderId="8" xfId="0" applyFont="1" applyBorder="1" applyAlignment="1" applyProtection="1">
      <alignment horizontal="right" vertical="center"/>
      <protection locked="0"/>
    </xf>
    <xf numFmtId="0" fontId="72" fillId="0" borderId="8" xfId="0" applyFont="1" applyBorder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2" fillId="12" borderId="0" xfId="0" applyFont="1" applyFill="1" applyAlignment="1" applyProtection="1">
      <alignment horizontal="center" vertical="center"/>
      <protection locked="0"/>
    </xf>
    <xf numFmtId="2" fontId="43" fillId="0" borderId="0" xfId="0" applyNumberFormat="1" applyFont="1" applyAlignment="1" applyProtection="1">
      <alignment horizontal="center" vertical="center"/>
      <protection hidden="1"/>
    </xf>
    <xf numFmtId="16" fontId="2" fillId="0" borderId="7" xfId="0" applyNumberFormat="1" applyFont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16" fillId="6" borderId="2" xfId="0" applyFont="1" applyFill="1" applyBorder="1" applyAlignment="1" applyProtection="1">
      <alignment horizontal="center" vertical="center"/>
      <protection locked="0"/>
    </xf>
    <xf numFmtId="0" fontId="16" fillId="6" borderId="3" xfId="0" applyFont="1" applyFill="1" applyBorder="1" applyAlignment="1" applyProtection="1">
      <alignment horizontal="center" vertical="center"/>
      <protection locked="0"/>
    </xf>
    <xf numFmtId="0" fontId="7" fillId="10" borderId="1" xfId="0" applyFont="1" applyFill="1" applyBorder="1" applyAlignment="1" applyProtection="1">
      <alignment horizontal="center" vertical="center"/>
      <protection locked="0"/>
    </xf>
    <xf numFmtId="0" fontId="7" fillId="10" borderId="2" xfId="0" applyFont="1" applyFill="1" applyBorder="1" applyAlignment="1" applyProtection="1">
      <alignment horizontal="center" vertical="center"/>
      <protection locked="0"/>
    </xf>
    <xf numFmtId="0" fontId="17" fillId="5" borderId="2" xfId="0" applyFont="1" applyFill="1" applyBorder="1" applyAlignment="1" applyProtection="1">
      <alignment horizontal="center" vertical="center"/>
      <protection locked="0"/>
    </xf>
    <xf numFmtId="0" fontId="17" fillId="5" borderId="3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16" fillId="2" borderId="2" xfId="0" applyFont="1" applyFill="1" applyBorder="1" applyAlignment="1" applyProtection="1">
      <alignment horizontal="center" vertical="center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16" fillId="8" borderId="2" xfId="0" applyFont="1" applyFill="1" applyBorder="1" applyAlignment="1" applyProtection="1">
      <alignment horizontal="center" vertical="center"/>
      <protection locked="0"/>
    </xf>
    <xf numFmtId="0" fontId="16" fillId="8" borderId="3" xfId="0" applyFont="1" applyFill="1" applyBorder="1" applyAlignment="1" applyProtection="1">
      <alignment horizontal="center" vertical="center"/>
      <protection locked="0"/>
    </xf>
    <xf numFmtId="0" fontId="5" fillId="11" borderId="0" xfId="0" applyFont="1" applyFill="1" applyAlignment="1" applyProtection="1">
      <alignment horizontal="right" vertical="center"/>
      <protection locked="0"/>
    </xf>
    <xf numFmtId="0" fontId="16" fillId="7" borderId="0" xfId="0" applyFont="1" applyFill="1" applyAlignment="1" applyProtection="1">
      <alignment horizontal="center" vertical="center"/>
      <protection locked="0"/>
    </xf>
    <xf numFmtId="0" fontId="121" fillId="0" borderId="15" xfId="0" applyFont="1" applyBorder="1" applyAlignment="1" applyProtection="1">
      <alignment horizontal="center"/>
      <protection locked="0"/>
    </xf>
    <xf numFmtId="0" fontId="40" fillId="0" borderId="15" xfId="0" applyFont="1" applyBorder="1" applyAlignment="1" applyProtection="1">
      <alignment horizontal="center"/>
      <protection locked="0"/>
    </xf>
    <xf numFmtId="0" fontId="37" fillId="17" borderId="8" xfId="2" applyFill="1" applyBorder="1" applyAlignment="1" applyProtection="1">
      <alignment horizontal="center"/>
      <protection locked="0"/>
    </xf>
    <xf numFmtId="0" fontId="37" fillId="17" borderId="10" xfId="2" applyFill="1" applyBorder="1" applyAlignment="1" applyProtection="1">
      <alignment horizontal="center"/>
      <protection locked="0"/>
    </xf>
    <xf numFmtId="0" fontId="38" fillId="17" borderId="21" xfId="1" applyFill="1" applyBorder="1" applyAlignment="1" applyProtection="1">
      <alignment horizontal="center"/>
      <protection locked="0"/>
    </xf>
    <xf numFmtId="0" fontId="38" fillId="17" borderId="8" xfId="1" applyFill="1" applyBorder="1" applyAlignment="1" applyProtection="1">
      <alignment horizontal="center"/>
      <protection locked="0"/>
    </xf>
    <xf numFmtId="0" fontId="38" fillId="17" borderId="48" xfId="1" applyFill="1" applyBorder="1" applyAlignment="1" applyProtection="1">
      <alignment horizontal="center"/>
      <protection locked="0"/>
    </xf>
    <xf numFmtId="0" fontId="38" fillId="17" borderId="11" xfId="1" applyFill="1" applyBorder="1" applyAlignment="1" applyProtection="1">
      <alignment horizontal="center"/>
      <protection locked="0"/>
    </xf>
    <xf numFmtId="0" fontId="38" fillId="17" borderId="12" xfId="1" applyFill="1" applyBorder="1" applyAlignment="1" applyProtection="1">
      <alignment horizontal="center"/>
      <protection locked="0"/>
    </xf>
    <xf numFmtId="0" fontId="37" fillId="17" borderId="11" xfId="2" applyFill="1" applyBorder="1" applyAlignment="1" applyProtection="1">
      <alignment horizontal="center"/>
      <protection locked="0"/>
    </xf>
    <xf numFmtId="0" fontId="37" fillId="17" borderId="49" xfId="2" applyFill="1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37" fillId="17" borderId="14" xfId="2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14" fontId="16" fillId="0" borderId="30" xfId="0" applyNumberFormat="1" applyFont="1" applyBorder="1" applyAlignment="1">
      <alignment horizontal="center" vertical="center" wrapText="1"/>
    </xf>
    <xf numFmtId="14" fontId="76" fillId="0" borderId="31" xfId="0" applyNumberFormat="1" applyFont="1" applyBorder="1" applyAlignment="1">
      <alignment horizontal="center" vertical="center" wrapText="1"/>
    </xf>
    <xf numFmtId="14" fontId="76" fillId="0" borderId="32" xfId="0" applyNumberFormat="1" applyFont="1" applyBorder="1" applyAlignment="1">
      <alignment horizontal="center" vertical="center" wrapText="1"/>
    </xf>
    <xf numFmtId="14" fontId="76" fillId="0" borderId="33" xfId="0" applyNumberFormat="1" applyFont="1" applyBorder="1" applyAlignment="1">
      <alignment horizontal="center" vertical="center" wrapText="1"/>
    </xf>
    <xf numFmtId="14" fontId="76" fillId="0" borderId="34" xfId="0" applyNumberFormat="1" applyFont="1" applyBorder="1" applyAlignment="1">
      <alignment horizontal="center" vertical="center" wrapText="1"/>
    </xf>
    <xf numFmtId="14" fontId="76" fillId="0" borderId="3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2" fillId="22" borderId="8" xfId="0" applyFont="1" applyFill="1" applyBorder="1" applyAlignment="1">
      <alignment horizontal="center"/>
    </xf>
    <xf numFmtId="0" fontId="120" fillId="22" borderId="8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122" fillId="22" borderId="5" xfId="0" applyFont="1" applyFill="1" applyBorder="1" applyAlignment="1">
      <alignment horizontal="center"/>
    </xf>
    <xf numFmtId="0" fontId="120" fillId="22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29" xfId="0" applyFont="1" applyFill="1" applyBorder="1" applyAlignment="1">
      <alignment horizontal="center" vertical="center"/>
    </xf>
    <xf numFmtId="0" fontId="30" fillId="5" borderId="29" xfId="0" applyFont="1" applyFill="1" applyBorder="1" applyAlignment="1">
      <alignment horizontal="center" vertical="center"/>
    </xf>
    <xf numFmtId="0" fontId="31" fillId="5" borderId="2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165" fontId="85" fillId="0" borderId="2" xfId="0" applyNumberFormat="1" applyFont="1" applyBorder="1" applyAlignment="1" applyProtection="1">
      <alignment horizontal="left" vertical="center"/>
      <protection locked="0"/>
    </xf>
    <xf numFmtId="165" fontId="85" fillId="0" borderId="3" xfId="0" applyNumberFormat="1" applyFont="1" applyBorder="1" applyAlignment="1" applyProtection="1">
      <alignment horizontal="left" vertic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8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40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/>
      <protection locked="0"/>
    </xf>
    <xf numFmtId="0" fontId="86" fillId="18" borderId="2" xfId="0" applyFont="1" applyFill="1" applyBorder="1" applyAlignment="1" applyProtection="1">
      <alignment horizontal="center" vertical="center"/>
      <protection locked="0"/>
    </xf>
    <xf numFmtId="0" fontId="86" fillId="18" borderId="3" xfId="0" applyFont="1" applyFill="1" applyBorder="1" applyAlignment="1" applyProtection="1">
      <alignment horizontal="center" vertical="center"/>
      <protection locked="0"/>
    </xf>
    <xf numFmtId="0" fontId="83" fillId="0" borderId="1" xfId="0" applyFont="1" applyBorder="1" applyAlignment="1" applyProtection="1">
      <alignment horizontal="center" vertical="center"/>
      <protection locked="0"/>
    </xf>
    <xf numFmtId="0" fontId="83" fillId="0" borderId="2" xfId="0" applyFont="1" applyBorder="1" applyAlignment="1" applyProtection="1">
      <alignment horizontal="center" vertical="center"/>
      <protection locked="0"/>
    </xf>
    <xf numFmtId="0" fontId="83" fillId="0" borderId="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right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125" fillId="0" borderId="52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04" fillId="0" borderId="6" xfId="0" applyFont="1" applyBorder="1" applyAlignment="1">
      <alignment horizontal="center" vertical="center" wrapText="1"/>
    </xf>
    <xf numFmtId="0" fontId="105" fillId="0" borderId="6" xfId="0" applyFont="1" applyBorder="1" applyAlignment="1">
      <alignment horizontal="center" vertical="center" wrapText="1"/>
    </xf>
    <xf numFmtId="0" fontId="104" fillId="0" borderId="44" xfId="0" applyFont="1" applyBorder="1" applyAlignment="1">
      <alignment horizontal="center" vertical="center" wrapText="1"/>
    </xf>
    <xf numFmtId="0" fontId="104" fillId="0" borderId="46" xfId="0" applyFont="1" applyBorder="1" applyAlignment="1">
      <alignment horizontal="center" vertical="center" wrapText="1"/>
    </xf>
    <xf numFmtId="0" fontId="104" fillId="0" borderId="6" xfId="0" applyFont="1" applyBorder="1" applyAlignment="1">
      <alignment horizontal="center" vertical="center"/>
    </xf>
    <xf numFmtId="0" fontId="104" fillId="0" borderId="43" xfId="0" applyFont="1" applyBorder="1" applyAlignment="1">
      <alignment horizontal="center" vertical="center" wrapText="1"/>
    </xf>
    <xf numFmtId="0" fontId="104" fillId="0" borderId="45" xfId="0" applyFont="1" applyBorder="1" applyAlignment="1">
      <alignment horizontal="center" vertical="center" wrapText="1"/>
    </xf>
    <xf numFmtId="0" fontId="104" fillId="0" borderId="6" xfId="0" applyFont="1" applyBorder="1" applyAlignment="1">
      <alignment horizontal="center" wrapText="1"/>
    </xf>
    <xf numFmtId="0" fontId="105" fillId="0" borderId="6" xfId="0" applyFont="1" applyBorder="1" applyAlignment="1">
      <alignment horizontal="center" wrapText="1"/>
    </xf>
    <xf numFmtId="0" fontId="105" fillId="0" borderId="6" xfId="0" applyFont="1" applyBorder="1" applyAlignment="1">
      <alignment horizontal="center" vertical="center"/>
    </xf>
    <xf numFmtId="0" fontId="93" fillId="19" borderId="1" xfId="0" applyFont="1" applyFill="1" applyBorder="1" applyAlignment="1">
      <alignment horizontal="center" vertical="center"/>
    </xf>
    <xf numFmtId="0" fontId="93" fillId="19" borderId="2" xfId="0" applyFont="1" applyFill="1" applyBorder="1" applyAlignment="1">
      <alignment horizontal="center" vertical="center"/>
    </xf>
    <xf numFmtId="0" fontId="93" fillId="19" borderId="3" xfId="0" applyFont="1" applyFill="1" applyBorder="1" applyAlignment="1">
      <alignment horizontal="center" vertical="center"/>
    </xf>
    <xf numFmtId="0" fontId="96" fillId="18" borderId="1" xfId="0" applyFont="1" applyFill="1" applyBorder="1" applyAlignment="1">
      <alignment horizontal="center" vertical="center"/>
    </xf>
    <xf numFmtId="0" fontId="96" fillId="18" borderId="2" xfId="0" applyFont="1" applyFill="1" applyBorder="1" applyAlignment="1">
      <alignment horizontal="center" vertical="center"/>
    </xf>
    <xf numFmtId="0" fontId="96" fillId="18" borderId="3" xfId="0" applyFont="1" applyFill="1" applyBorder="1" applyAlignment="1">
      <alignment horizontal="center" vertical="center"/>
    </xf>
    <xf numFmtId="0" fontId="97" fillId="16" borderId="1" xfId="0" applyFont="1" applyFill="1" applyBorder="1" applyAlignment="1">
      <alignment horizontal="center"/>
    </xf>
    <xf numFmtId="0" fontId="97" fillId="16" borderId="2" xfId="0" applyFont="1" applyFill="1" applyBorder="1" applyAlignment="1">
      <alignment horizontal="center"/>
    </xf>
    <xf numFmtId="0" fontId="97" fillId="16" borderId="3" xfId="0" applyFont="1" applyFill="1" applyBorder="1" applyAlignment="1">
      <alignment horizontal="center"/>
    </xf>
    <xf numFmtId="0" fontId="96" fillId="0" borderId="1" xfId="0" applyFont="1" applyBorder="1" applyAlignment="1">
      <alignment horizontal="center"/>
    </xf>
    <xf numFmtId="0" fontId="96" fillId="0" borderId="2" xfId="0" applyFont="1" applyBorder="1" applyAlignment="1">
      <alignment horizontal="center"/>
    </xf>
    <xf numFmtId="0" fontId="96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6" fillId="0" borderId="28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30" fillId="6" borderId="26" xfId="0" applyFont="1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center"/>
      <protection locked="0"/>
    </xf>
    <xf numFmtId="0" fontId="17" fillId="5" borderId="26" xfId="0" applyFont="1" applyFill="1" applyBorder="1" applyAlignment="1" applyProtection="1">
      <alignment horizontal="center" vertical="center"/>
      <protection locked="0"/>
    </xf>
    <xf numFmtId="0" fontId="7" fillId="3" borderId="26" xfId="0" applyFont="1" applyFill="1" applyBorder="1" applyAlignment="1" applyProtection="1">
      <alignment horizontal="center" vertical="center"/>
      <protection locked="0"/>
    </xf>
    <xf numFmtId="0" fontId="130" fillId="2" borderId="1" xfId="0" applyFont="1" applyFill="1" applyBorder="1" applyAlignment="1" applyProtection="1">
      <alignment horizontal="center" vertical="center"/>
      <protection locked="0"/>
    </xf>
    <xf numFmtId="0" fontId="130" fillId="2" borderId="2" xfId="0" applyFont="1" applyFill="1" applyBorder="1" applyAlignment="1" applyProtection="1">
      <alignment horizontal="center" vertical="center"/>
      <protection locked="0"/>
    </xf>
    <xf numFmtId="0" fontId="130" fillId="2" borderId="3" xfId="0" applyFont="1" applyFill="1" applyBorder="1" applyAlignment="1" applyProtection="1">
      <alignment horizontal="center" vertical="center"/>
      <protection locked="0"/>
    </xf>
    <xf numFmtId="0" fontId="7" fillId="9" borderId="26" xfId="0" applyFont="1" applyFill="1" applyBorder="1" applyAlignment="1" applyProtection="1">
      <alignment horizontal="center" vertical="center"/>
      <protection locked="0"/>
    </xf>
    <xf numFmtId="0" fontId="16" fillId="8" borderId="26" xfId="0" applyFont="1" applyFill="1" applyBorder="1" applyAlignment="1" applyProtection="1">
      <alignment horizontal="center" vertical="center"/>
      <protection locked="0"/>
    </xf>
    <xf numFmtId="0" fontId="98" fillId="20" borderId="26" xfId="0" applyFont="1" applyFill="1" applyBorder="1" applyAlignment="1">
      <alignment horizontal="center"/>
    </xf>
    <xf numFmtId="0" fontId="99" fillId="20" borderId="26" xfId="0" applyFont="1" applyFill="1" applyBorder="1" applyAlignment="1">
      <alignment horizontal="center"/>
    </xf>
    <xf numFmtId="49" fontId="100" fillId="21" borderId="26" xfId="0" applyNumberFormat="1" applyFont="1" applyFill="1" applyBorder="1" applyAlignment="1">
      <alignment horizontal="center"/>
    </xf>
    <xf numFmtId="0" fontId="101" fillId="20" borderId="26" xfId="0" applyFont="1" applyFill="1" applyBorder="1" applyAlignment="1">
      <alignment horizontal="center"/>
    </xf>
    <xf numFmtId="0" fontId="102" fillId="20" borderId="26" xfId="0" applyFont="1" applyFill="1" applyBorder="1" applyAlignment="1">
      <alignment horizontal="center"/>
    </xf>
    <xf numFmtId="1" fontId="103" fillId="21" borderId="26" xfId="0" applyNumberFormat="1" applyFont="1" applyFill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0" fontId="126" fillId="0" borderId="0" xfId="0" applyFont="1" applyAlignment="1">
      <alignment horizontal="center"/>
    </xf>
    <xf numFmtId="2" fontId="128" fillId="0" borderId="58" xfId="0" applyNumberFormat="1" applyFont="1" applyBorder="1" applyAlignment="1">
      <alignment horizontal="center"/>
    </xf>
    <xf numFmtId="0" fontId="128" fillId="0" borderId="60" xfId="0" applyFont="1" applyBorder="1" applyAlignment="1">
      <alignment horizontal="center"/>
    </xf>
    <xf numFmtId="2" fontId="129" fillId="0" borderId="58" xfId="0" applyNumberFormat="1" applyFont="1" applyBorder="1" applyAlignment="1">
      <alignment horizontal="center"/>
    </xf>
    <xf numFmtId="0" fontId="129" fillId="0" borderId="6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114" fillId="0" borderId="1" xfId="0" applyNumberFormat="1" applyFont="1" applyBorder="1" applyAlignment="1">
      <alignment horizontal="center" vertical="center"/>
    </xf>
    <xf numFmtId="2" fontId="114" fillId="0" borderId="2" xfId="0" applyNumberFormat="1" applyFont="1" applyBorder="1" applyAlignment="1">
      <alignment horizontal="center" vertical="center"/>
    </xf>
    <xf numFmtId="2" fontId="114" fillId="0" borderId="3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1" xfId="0" applyBorder="1" applyAlignment="1">
      <alignment horizontal="center"/>
    </xf>
    <xf numFmtId="0" fontId="93" fillId="7" borderId="1" xfId="0" applyFont="1" applyFill="1" applyBorder="1" applyAlignment="1">
      <alignment horizontal="center" vertical="center"/>
    </xf>
    <xf numFmtId="0" fontId="93" fillId="7" borderId="2" xfId="0" applyFont="1" applyFill="1" applyBorder="1" applyAlignment="1">
      <alignment horizontal="center" vertical="center"/>
    </xf>
    <xf numFmtId="0" fontId="93" fillId="7" borderId="3" xfId="0" applyFont="1" applyFill="1" applyBorder="1" applyAlignment="1">
      <alignment horizontal="center" vertical="center"/>
    </xf>
    <xf numFmtId="0" fontId="110" fillId="8" borderId="1" xfId="0" applyFont="1" applyFill="1" applyBorder="1" applyAlignment="1">
      <alignment horizontal="center" vertical="center"/>
    </xf>
    <xf numFmtId="0" fontId="110" fillId="8" borderId="2" xfId="0" applyFont="1" applyFill="1" applyBorder="1" applyAlignment="1">
      <alignment horizontal="center" vertical="center"/>
    </xf>
    <xf numFmtId="0" fontId="110" fillId="8" borderId="3" xfId="0" applyFont="1" applyFill="1" applyBorder="1" applyAlignment="1">
      <alignment horizontal="center" vertical="center"/>
    </xf>
    <xf numFmtId="0" fontId="111" fillId="5" borderId="1" xfId="0" applyFont="1" applyFill="1" applyBorder="1" applyAlignment="1">
      <alignment horizontal="center"/>
    </xf>
    <xf numFmtId="0" fontId="111" fillId="5" borderId="2" xfId="0" applyFont="1" applyFill="1" applyBorder="1" applyAlignment="1">
      <alignment horizontal="center"/>
    </xf>
    <xf numFmtId="0" fontId="111" fillId="5" borderId="3" xfId="0" applyFont="1" applyFill="1" applyBorder="1" applyAlignment="1">
      <alignment horizontal="center"/>
    </xf>
    <xf numFmtId="0" fontId="110" fillId="16" borderId="1" xfId="0" applyFont="1" applyFill="1" applyBorder="1" applyAlignment="1">
      <alignment horizontal="center"/>
    </xf>
    <xf numFmtId="0" fontId="110" fillId="16" borderId="2" xfId="0" applyFont="1" applyFill="1" applyBorder="1" applyAlignment="1">
      <alignment horizontal="center"/>
    </xf>
    <xf numFmtId="0" fontId="110" fillId="16" borderId="3" xfId="0" applyFont="1" applyFill="1" applyBorder="1" applyAlignment="1">
      <alignment horizontal="center"/>
    </xf>
    <xf numFmtId="0" fontId="112" fillId="5" borderId="1" xfId="0" applyFont="1" applyFill="1" applyBorder="1" applyAlignment="1" applyProtection="1">
      <alignment horizontal="center" vertical="center"/>
      <protection locked="0"/>
    </xf>
    <xf numFmtId="0" fontId="112" fillId="5" borderId="3" xfId="0" applyFont="1" applyFill="1" applyBorder="1" applyAlignment="1" applyProtection="1">
      <alignment horizontal="center" vertical="center"/>
      <protection locked="0"/>
    </xf>
    <xf numFmtId="0" fontId="113" fillId="0" borderId="37" xfId="0" applyFont="1" applyBorder="1" applyAlignment="1">
      <alignment horizontal="center" vertical="center"/>
    </xf>
    <xf numFmtId="0" fontId="113" fillId="0" borderId="38" xfId="0" applyFont="1" applyBorder="1" applyAlignment="1">
      <alignment horizontal="center" vertical="center"/>
    </xf>
    <xf numFmtId="0" fontId="113" fillId="0" borderId="39" xfId="0" applyFont="1" applyBorder="1" applyAlignment="1">
      <alignment horizontal="center" vertical="center"/>
    </xf>
    <xf numFmtId="0" fontId="113" fillId="0" borderId="28" xfId="0" applyFont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0" borderId="27" xfId="0" applyFont="1" applyBorder="1" applyAlignment="1">
      <alignment horizontal="center" vertical="center"/>
    </xf>
    <xf numFmtId="0" fontId="113" fillId="0" borderId="40" xfId="0" applyFont="1" applyBorder="1" applyAlignment="1">
      <alignment horizontal="center" vertical="center"/>
    </xf>
    <xf numFmtId="0" fontId="113" fillId="0" borderId="36" xfId="0" applyFont="1" applyBorder="1" applyAlignment="1">
      <alignment horizontal="center" vertical="center"/>
    </xf>
    <xf numFmtId="0" fontId="113" fillId="0" borderId="41" xfId="0" applyFont="1" applyBorder="1" applyAlignment="1">
      <alignment horizontal="center" vertical="center"/>
    </xf>
  </cellXfs>
  <cellStyles count="3">
    <cellStyle name="40% - Accent4" xfId="2" builtinId="43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0000FF"/>
      <color rgb="FF660066"/>
      <color rgb="FFFF0066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4</xdr:row>
      <xdr:rowOff>57149</xdr:rowOff>
    </xdr:from>
    <xdr:to>
      <xdr:col>6</xdr:col>
      <xdr:colOff>333375</xdr:colOff>
      <xdr:row>7</xdr:row>
      <xdr:rowOff>28575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381250" y="1028699"/>
          <a:ext cx="2143125" cy="504826"/>
        </a:xfrm>
        <a:prstGeom prst="flowChartAlternateProcess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latin typeface="LMG-Arun" pitchFamily="2" charset="0"/>
            </a:rPr>
            <a:t>5lZlXQ8 vo !_</a:t>
          </a:r>
          <a:endParaRPr lang="en-US" sz="3600"/>
        </a:p>
      </xdr:txBody>
    </xdr:sp>
    <xdr:clientData/>
  </xdr:twoCellAnchor>
  <xdr:twoCellAnchor>
    <xdr:from>
      <xdr:col>2</xdr:col>
      <xdr:colOff>952500</xdr:colOff>
      <xdr:row>7</xdr:row>
      <xdr:rowOff>104775</xdr:rowOff>
    </xdr:from>
    <xdr:to>
      <xdr:col>7</xdr:col>
      <xdr:colOff>476251</xdr:colOff>
      <xdr:row>7</xdr:row>
      <xdr:rowOff>717423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400175" y="1609725"/>
          <a:ext cx="3990976" cy="612648"/>
        </a:xfrm>
        <a:prstGeom prst="flowChartAlternate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latin typeface="LMG-Arun" pitchFamily="2" charset="0"/>
            </a:rPr>
            <a:t>   U|Fg8 J5ZFXG]\ 5|DF65+ </a:t>
          </a:r>
          <a:r>
            <a:rPr lang="en-US" sz="2800">
              <a:latin typeface="Angsana New" panose="02020603050405020304" pitchFamily="18" charset="-34"/>
              <a:cs typeface="Angsana New" panose="02020603050405020304" pitchFamily="18" charset="-34"/>
            </a:rPr>
            <a:t>SMCE</a:t>
          </a:r>
        </a:p>
      </xdr:txBody>
    </xdr:sp>
    <xdr:clientData/>
  </xdr:twoCellAnchor>
  <xdr:twoCellAnchor editAs="oneCell">
    <xdr:from>
      <xdr:col>10</xdr:col>
      <xdr:colOff>228600</xdr:colOff>
      <xdr:row>11</xdr:row>
      <xdr:rowOff>180975</xdr:rowOff>
    </xdr:from>
    <xdr:to>
      <xdr:col>17</xdr:col>
      <xdr:colOff>247180</xdr:colOff>
      <xdr:row>13</xdr:row>
      <xdr:rowOff>363150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5" y="3409950"/>
          <a:ext cx="3371380" cy="658425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8</xdr:row>
      <xdr:rowOff>104776</xdr:rowOff>
    </xdr:from>
    <xdr:to>
      <xdr:col>9</xdr:col>
      <xdr:colOff>542925</xdr:colOff>
      <xdr:row>8</xdr:row>
      <xdr:rowOff>1514476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52400" y="2762251"/>
          <a:ext cx="6562725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algn="just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400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                                           </a:t>
          </a:r>
          <a:r>
            <a:rPr lang="en-US" sz="1400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VFYL 5|DF65+ VF5JFDF\ VFJ[ K[ S[ ;G[ </a:t>
          </a:r>
          <a:r>
            <a:rPr lang="en-US" sz="1400" b="1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Z_Z#qZ$</a:t>
          </a:r>
          <a:r>
            <a:rPr lang="en-US" sz="1400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 GF6F\SLI JØ"DF\ GLR[GL lJUT[ S], ~ </a:t>
          </a:r>
          <a:r>
            <a:rPr lang="en-US" sz="1400" b="1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Z5*&amp;&amp;</a:t>
          </a:r>
          <a:r>
            <a:rPr lang="en-US" sz="1400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  V\S[ ~</a:t>
          </a:r>
          <a:r>
            <a:rPr lang="en-US" sz="1400" b="1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P5rRL; CHFZ ;FT;M KF;9  </a:t>
          </a:r>
          <a:r>
            <a:rPr lang="en-US" sz="1400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D/[, K[P H[ 5{SL ~ </a:t>
          </a:r>
          <a:r>
            <a:rPr lang="en-US" sz="1400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!#&amp;_&amp; </a:t>
          </a:r>
          <a:r>
            <a:rPr lang="en-US" sz="1400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V\S[ ~P </a:t>
          </a:r>
          <a:r>
            <a:rPr lang="en-US" sz="1400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T[Z CHFZ K;M K </a:t>
          </a:r>
          <a:r>
            <a:rPr lang="en-US" sz="1400" b="1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BR" YI[, K[PVG[ VUFpGF JØ"GL ART ;lCT </a:t>
          </a:r>
          <a:r>
            <a:rPr lang="en-US" sz="1400" b="1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#! </a:t>
          </a:r>
          <a:r>
            <a:rPr lang="en-US" sz="1400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DL DFR"GF ZMH ~P</a:t>
          </a:r>
          <a:r>
            <a:rPr lang="en-US" sz="1400" b="1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 </a:t>
          </a:r>
          <a:r>
            <a:rPr lang="en-US" sz="1400" b="1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Z_!(* </a:t>
          </a:r>
          <a:r>
            <a:rPr lang="en-US" sz="1400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V\S[ ~P </a:t>
          </a:r>
          <a:r>
            <a:rPr lang="en-US" sz="1400" b="1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JL;</a:t>
          </a:r>
          <a:r>
            <a:rPr lang="en-US" sz="1400" b="1" baseline="0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 CHFZ V[S;M l;tIFXL</a:t>
          </a:r>
          <a:r>
            <a:rPr lang="en-US" sz="1400">
              <a:solidFill>
                <a:srgbClr val="002060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LMG-Arun" pitchFamily="2" charset="0"/>
              <a:ea typeface="Calibri" panose="020F0502020204030204" pitchFamily="34" charset="0"/>
              <a:cs typeface="Shruti" panose="020B0502040204020203" pitchFamily="34" charset="0"/>
            </a:rPr>
            <a:t>ART ZC[, K[P VF p5ZF\T VFJS VG[ BR"GF VF\S0F ;\A\lWT lC;FAL Z[S0" ;FY[ RSF;6L SZLG[ NXF"J[, K[P</a:t>
          </a:r>
          <a:endParaRPr lang="en-US" sz="1400">
            <a:solidFill>
              <a:schemeClr val="tx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Shruti" panose="020B0502040204020203" pitchFamily="34" charset="0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1</xdr:row>
      <xdr:rowOff>57150</xdr:rowOff>
    </xdr:from>
    <xdr:to>
      <xdr:col>13</xdr:col>
      <xdr:colOff>276225</xdr:colOff>
      <xdr:row>1</xdr:row>
      <xdr:rowOff>514350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600700" y="57150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</xdr:row>
      <xdr:rowOff>47625</xdr:rowOff>
    </xdr:from>
    <xdr:to>
      <xdr:col>16</xdr:col>
      <xdr:colOff>581024</xdr:colOff>
      <xdr:row>1</xdr:row>
      <xdr:rowOff>504825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9439274" y="56197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</xdr:row>
      <xdr:rowOff>38100</xdr:rowOff>
    </xdr:from>
    <xdr:to>
      <xdr:col>16</xdr:col>
      <xdr:colOff>523874</xdr:colOff>
      <xdr:row>1</xdr:row>
      <xdr:rowOff>485775</xdr:rowOff>
    </xdr:to>
    <xdr:sp macro="" textlink="">
      <xdr:nvSpPr>
        <xdr:cNvPr id="6" name="6-Point Sta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0772774" y="55245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22</xdr:row>
      <xdr:rowOff>57150</xdr:rowOff>
    </xdr:from>
    <xdr:to>
      <xdr:col>8</xdr:col>
      <xdr:colOff>295276</xdr:colOff>
      <xdr:row>22</xdr:row>
      <xdr:rowOff>514350</xdr:rowOff>
    </xdr:to>
    <xdr:sp macro="" textlink="">
      <xdr:nvSpPr>
        <xdr:cNvPr id="7" name="Flowchart: Alternate Proces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71450" y="590550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22</xdr:row>
      <xdr:rowOff>57150</xdr:rowOff>
    </xdr:from>
    <xdr:to>
      <xdr:col>13</xdr:col>
      <xdr:colOff>276225</xdr:colOff>
      <xdr:row>22</xdr:row>
      <xdr:rowOff>514350</xdr:rowOff>
    </xdr:to>
    <xdr:sp macro="" textlink="">
      <xdr:nvSpPr>
        <xdr:cNvPr id="8" name="Flowchart: Alternate Process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600700" y="59055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22</xdr:row>
      <xdr:rowOff>47625</xdr:rowOff>
    </xdr:from>
    <xdr:to>
      <xdr:col>16</xdr:col>
      <xdr:colOff>581024</xdr:colOff>
      <xdr:row>22</xdr:row>
      <xdr:rowOff>504825</xdr:rowOff>
    </xdr:to>
    <xdr:sp macro="" textlink="">
      <xdr:nvSpPr>
        <xdr:cNvPr id="9" name="Flowchart: Alternate Proces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439274" y="58102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22</xdr:row>
      <xdr:rowOff>38100</xdr:rowOff>
    </xdr:from>
    <xdr:to>
      <xdr:col>16</xdr:col>
      <xdr:colOff>523874</xdr:colOff>
      <xdr:row>22</xdr:row>
      <xdr:rowOff>485775</xdr:rowOff>
    </xdr:to>
    <xdr:sp macro="" textlink="">
      <xdr:nvSpPr>
        <xdr:cNvPr id="10" name="6-Point Sta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0772774" y="5715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43</xdr:row>
      <xdr:rowOff>57150</xdr:rowOff>
    </xdr:from>
    <xdr:to>
      <xdr:col>8</xdr:col>
      <xdr:colOff>295276</xdr:colOff>
      <xdr:row>43</xdr:row>
      <xdr:rowOff>514350</xdr:rowOff>
    </xdr:to>
    <xdr:sp macro="" textlink="">
      <xdr:nvSpPr>
        <xdr:cNvPr id="11" name="Flowchart: Alternate Process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71450" y="590550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43</xdr:row>
      <xdr:rowOff>57150</xdr:rowOff>
    </xdr:from>
    <xdr:to>
      <xdr:col>13</xdr:col>
      <xdr:colOff>276225</xdr:colOff>
      <xdr:row>43</xdr:row>
      <xdr:rowOff>514350</xdr:rowOff>
    </xdr:to>
    <xdr:sp macro="" textlink="">
      <xdr:nvSpPr>
        <xdr:cNvPr id="12" name="Flowchart: Alternate Proces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600700" y="59055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43</xdr:row>
      <xdr:rowOff>47625</xdr:rowOff>
    </xdr:from>
    <xdr:to>
      <xdr:col>16</xdr:col>
      <xdr:colOff>581024</xdr:colOff>
      <xdr:row>43</xdr:row>
      <xdr:rowOff>504825</xdr:rowOff>
    </xdr:to>
    <xdr:sp macro="" textlink="">
      <xdr:nvSpPr>
        <xdr:cNvPr id="13" name="Flowchart: Alternate Process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9439274" y="58102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43</xdr:row>
      <xdr:rowOff>38100</xdr:rowOff>
    </xdr:from>
    <xdr:to>
      <xdr:col>16</xdr:col>
      <xdr:colOff>523874</xdr:colOff>
      <xdr:row>43</xdr:row>
      <xdr:rowOff>485775</xdr:rowOff>
    </xdr:to>
    <xdr:sp macro="" textlink="">
      <xdr:nvSpPr>
        <xdr:cNvPr id="14" name="6-Point Sta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0772774" y="5715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64</xdr:row>
      <xdr:rowOff>57150</xdr:rowOff>
    </xdr:from>
    <xdr:to>
      <xdr:col>8</xdr:col>
      <xdr:colOff>295276</xdr:colOff>
      <xdr:row>64</xdr:row>
      <xdr:rowOff>514350</xdr:rowOff>
    </xdr:to>
    <xdr:sp macro="" textlink="">
      <xdr:nvSpPr>
        <xdr:cNvPr id="31" name="Flowchart: Alternate Process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71450" y="590550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64</xdr:row>
      <xdr:rowOff>57150</xdr:rowOff>
    </xdr:from>
    <xdr:to>
      <xdr:col>13</xdr:col>
      <xdr:colOff>276225</xdr:colOff>
      <xdr:row>64</xdr:row>
      <xdr:rowOff>514350</xdr:rowOff>
    </xdr:to>
    <xdr:sp macro="" textlink="">
      <xdr:nvSpPr>
        <xdr:cNvPr id="32" name="Flowchart: Alternate Proces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600700" y="59055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64</xdr:row>
      <xdr:rowOff>47625</xdr:rowOff>
    </xdr:from>
    <xdr:to>
      <xdr:col>16</xdr:col>
      <xdr:colOff>581024</xdr:colOff>
      <xdr:row>64</xdr:row>
      <xdr:rowOff>504825</xdr:rowOff>
    </xdr:to>
    <xdr:sp macro="" textlink="">
      <xdr:nvSpPr>
        <xdr:cNvPr id="33" name="Flowchart: Alternate Process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9439274" y="58102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64</xdr:row>
      <xdr:rowOff>38100</xdr:rowOff>
    </xdr:from>
    <xdr:to>
      <xdr:col>16</xdr:col>
      <xdr:colOff>523874</xdr:colOff>
      <xdr:row>64</xdr:row>
      <xdr:rowOff>485775</xdr:rowOff>
    </xdr:to>
    <xdr:sp macro="" textlink="">
      <xdr:nvSpPr>
        <xdr:cNvPr id="34" name="6-Point Sta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0772774" y="5715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86</xdr:row>
      <xdr:rowOff>57150</xdr:rowOff>
    </xdr:from>
    <xdr:to>
      <xdr:col>8</xdr:col>
      <xdr:colOff>295276</xdr:colOff>
      <xdr:row>86</xdr:row>
      <xdr:rowOff>514350</xdr:rowOff>
    </xdr:to>
    <xdr:sp macro="" textlink="">
      <xdr:nvSpPr>
        <xdr:cNvPr id="35" name="Flowchart: Alternate Proces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71450" y="590550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86</xdr:row>
      <xdr:rowOff>57150</xdr:rowOff>
    </xdr:from>
    <xdr:to>
      <xdr:col>13</xdr:col>
      <xdr:colOff>276225</xdr:colOff>
      <xdr:row>86</xdr:row>
      <xdr:rowOff>514350</xdr:rowOff>
    </xdr:to>
    <xdr:sp macro="" textlink="">
      <xdr:nvSpPr>
        <xdr:cNvPr id="36" name="Flowchart: Alternate Process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600700" y="59055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86</xdr:row>
      <xdr:rowOff>47625</xdr:rowOff>
    </xdr:from>
    <xdr:to>
      <xdr:col>16</xdr:col>
      <xdr:colOff>581024</xdr:colOff>
      <xdr:row>86</xdr:row>
      <xdr:rowOff>504825</xdr:rowOff>
    </xdr:to>
    <xdr:sp macro="" textlink="">
      <xdr:nvSpPr>
        <xdr:cNvPr id="37" name="Flowchart: Alternate Process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9439274" y="58102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86</xdr:row>
      <xdr:rowOff>38100</xdr:rowOff>
    </xdr:from>
    <xdr:to>
      <xdr:col>16</xdr:col>
      <xdr:colOff>523874</xdr:colOff>
      <xdr:row>86</xdr:row>
      <xdr:rowOff>485775</xdr:rowOff>
    </xdr:to>
    <xdr:sp macro="" textlink="">
      <xdr:nvSpPr>
        <xdr:cNvPr id="38" name="6-Point Sta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0772774" y="5715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107</xdr:row>
      <xdr:rowOff>57150</xdr:rowOff>
    </xdr:from>
    <xdr:to>
      <xdr:col>8</xdr:col>
      <xdr:colOff>295276</xdr:colOff>
      <xdr:row>107</xdr:row>
      <xdr:rowOff>514350</xdr:rowOff>
    </xdr:to>
    <xdr:sp macro="" textlink="">
      <xdr:nvSpPr>
        <xdr:cNvPr id="55" name="Flowchart: Alternate Process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171450" y="590550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107</xdr:row>
      <xdr:rowOff>57150</xdr:rowOff>
    </xdr:from>
    <xdr:to>
      <xdr:col>13</xdr:col>
      <xdr:colOff>276225</xdr:colOff>
      <xdr:row>107</xdr:row>
      <xdr:rowOff>514350</xdr:rowOff>
    </xdr:to>
    <xdr:sp macro="" textlink="">
      <xdr:nvSpPr>
        <xdr:cNvPr id="56" name="Flowchart: Alternate Process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5600700" y="59055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107</xdr:row>
      <xdr:rowOff>47625</xdr:rowOff>
    </xdr:from>
    <xdr:to>
      <xdr:col>16</xdr:col>
      <xdr:colOff>581024</xdr:colOff>
      <xdr:row>107</xdr:row>
      <xdr:rowOff>504825</xdr:rowOff>
    </xdr:to>
    <xdr:sp macro="" textlink="">
      <xdr:nvSpPr>
        <xdr:cNvPr id="57" name="Flowchart: Alternate Process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9439274" y="58102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107</xdr:row>
      <xdr:rowOff>38100</xdr:rowOff>
    </xdr:from>
    <xdr:to>
      <xdr:col>16</xdr:col>
      <xdr:colOff>523874</xdr:colOff>
      <xdr:row>107</xdr:row>
      <xdr:rowOff>485775</xdr:rowOff>
    </xdr:to>
    <xdr:sp macro="" textlink="">
      <xdr:nvSpPr>
        <xdr:cNvPr id="58" name="6-Point Sta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10772774" y="5715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128</xdr:row>
      <xdr:rowOff>57150</xdr:rowOff>
    </xdr:from>
    <xdr:to>
      <xdr:col>8</xdr:col>
      <xdr:colOff>295276</xdr:colOff>
      <xdr:row>128</xdr:row>
      <xdr:rowOff>514350</xdr:rowOff>
    </xdr:to>
    <xdr:sp macro="" textlink="">
      <xdr:nvSpPr>
        <xdr:cNvPr id="67" name="Flowchart: Alternate Process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171450" y="590550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128</xdr:row>
      <xdr:rowOff>57150</xdr:rowOff>
    </xdr:from>
    <xdr:to>
      <xdr:col>13</xdr:col>
      <xdr:colOff>276225</xdr:colOff>
      <xdr:row>128</xdr:row>
      <xdr:rowOff>514350</xdr:rowOff>
    </xdr:to>
    <xdr:sp macro="" textlink="">
      <xdr:nvSpPr>
        <xdr:cNvPr id="68" name="Flowchart: Alternate Process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5600700" y="59055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128</xdr:row>
      <xdr:rowOff>47625</xdr:rowOff>
    </xdr:from>
    <xdr:to>
      <xdr:col>16</xdr:col>
      <xdr:colOff>581024</xdr:colOff>
      <xdr:row>128</xdr:row>
      <xdr:rowOff>504825</xdr:rowOff>
    </xdr:to>
    <xdr:sp macro="" textlink="">
      <xdr:nvSpPr>
        <xdr:cNvPr id="69" name="Flowchart: Alternate Process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9439274" y="58102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128</xdr:row>
      <xdr:rowOff>38100</xdr:rowOff>
    </xdr:from>
    <xdr:to>
      <xdr:col>16</xdr:col>
      <xdr:colOff>523874</xdr:colOff>
      <xdr:row>128</xdr:row>
      <xdr:rowOff>485775</xdr:rowOff>
    </xdr:to>
    <xdr:sp macro="" textlink="">
      <xdr:nvSpPr>
        <xdr:cNvPr id="70" name="6-Point Star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10772774" y="5715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150</xdr:row>
      <xdr:rowOff>57150</xdr:rowOff>
    </xdr:from>
    <xdr:to>
      <xdr:col>8</xdr:col>
      <xdr:colOff>532755</xdr:colOff>
      <xdr:row>150</xdr:row>
      <xdr:rowOff>514350</xdr:rowOff>
    </xdr:to>
    <xdr:sp macro="" textlink="">
      <xdr:nvSpPr>
        <xdr:cNvPr id="71" name="Flowchart: Alternate Process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169351" y="68629078"/>
          <a:ext cx="52227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150</xdr:row>
      <xdr:rowOff>57150</xdr:rowOff>
    </xdr:from>
    <xdr:to>
      <xdr:col>13</xdr:col>
      <xdr:colOff>276225</xdr:colOff>
      <xdr:row>150</xdr:row>
      <xdr:rowOff>514350</xdr:rowOff>
    </xdr:to>
    <xdr:sp macro="" textlink="">
      <xdr:nvSpPr>
        <xdr:cNvPr id="72" name="Flowchart: Alternate Process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5600700" y="59055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150</xdr:row>
      <xdr:rowOff>47625</xdr:rowOff>
    </xdr:from>
    <xdr:to>
      <xdr:col>16</xdr:col>
      <xdr:colOff>581024</xdr:colOff>
      <xdr:row>150</xdr:row>
      <xdr:rowOff>504825</xdr:rowOff>
    </xdr:to>
    <xdr:sp macro="" textlink="">
      <xdr:nvSpPr>
        <xdr:cNvPr id="73" name="Flowchart: Alternate Process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9439274" y="58102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150</xdr:row>
      <xdr:rowOff>38100</xdr:rowOff>
    </xdr:from>
    <xdr:to>
      <xdr:col>16</xdr:col>
      <xdr:colOff>523874</xdr:colOff>
      <xdr:row>150</xdr:row>
      <xdr:rowOff>485775</xdr:rowOff>
    </xdr:to>
    <xdr:sp macro="" textlink="">
      <xdr:nvSpPr>
        <xdr:cNvPr id="74" name="6-Point Star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10772774" y="5715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1</xdr:row>
      <xdr:rowOff>57150</xdr:rowOff>
    </xdr:from>
    <xdr:to>
      <xdr:col>8</xdr:col>
      <xdr:colOff>295276</xdr:colOff>
      <xdr:row>1</xdr:row>
      <xdr:rowOff>514350</xdr:rowOff>
    </xdr:to>
    <xdr:sp macro="" textlink="">
      <xdr:nvSpPr>
        <xdr:cNvPr id="91" name="Flowchart: Alternate Process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171450" y="571500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16</xdr:col>
      <xdr:colOff>19049</xdr:colOff>
      <xdr:row>1</xdr:row>
      <xdr:rowOff>38100</xdr:rowOff>
    </xdr:from>
    <xdr:to>
      <xdr:col>16</xdr:col>
      <xdr:colOff>523874</xdr:colOff>
      <xdr:row>1</xdr:row>
      <xdr:rowOff>485775</xdr:rowOff>
    </xdr:to>
    <xdr:sp macro="" textlink="">
      <xdr:nvSpPr>
        <xdr:cNvPr id="94" name="6-Point Star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10772774" y="55245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</xdr:col>
      <xdr:colOff>104775</xdr:colOff>
      <xdr:row>22</xdr:row>
      <xdr:rowOff>57150</xdr:rowOff>
    </xdr:from>
    <xdr:to>
      <xdr:col>8</xdr:col>
      <xdr:colOff>295276</xdr:colOff>
      <xdr:row>22</xdr:row>
      <xdr:rowOff>514350</xdr:rowOff>
    </xdr:to>
    <xdr:sp macro="" textlink="">
      <xdr:nvSpPr>
        <xdr:cNvPr id="99" name="Flowchart: Alternate Process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171450" y="8143875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22</xdr:row>
      <xdr:rowOff>57150</xdr:rowOff>
    </xdr:from>
    <xdr:to>
      <xdr:col>13</xdr:col>
      <xdr:colOff>276225</xdr:colOff>
      <xdr:row>22</xdr:row>
      <xdr:rowOff>514350</xdr:rowOff>
    </xdr:to>
    <xdr:sp macro="" textlink="">
      <xdr:nvSpPr>
        <xdr:cNvPr id="100" name="Flowchart: Alternate Process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5600700" y="8143875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22</xdr:row>
      <xdr:rowOff>47625</xdr:rowOff>
    </xdr:from>
    <xdr:to>
      <xdr:col>16</xdr:col>
      <xdr:colOff>581024</xdr:colOff>
      <xdr:row>22</xdr:row>
      <xdr:rowOff>504825</xdr:rowOff>
    </xdr:to>
    <xdr:sp macro="" textlink="">
      <xdr:nvSpPr>
        <xdr:cNvPr id="101" name="Flowchart: Alternate Process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9439274" y="8134350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22</xdr:row>
      <xdr:rowOff>38100</xdr:rowOff>
    </xdr:from>
    <xdr:to>
      <xdr:col>16</xdr:col>
      <xdr:colOff>523874</xdr:colOff>
      <xdr:row>22</xdr:row>
      <xdr:rowOff>485775</xdr:rowOff>
    </xdr:to>
    <xdr:sp macro="" textlink="">
      <xdr:nvSpPr>
        <xdr:cNvPr id="102" name="6-Point Star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10772774" y="8124825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1</xdr:col>
      <xdr:colOff>104775</xdr:colOff>
      <xdr:row>43</xdr:row>
      <xdr:rowOff>57150</xdr:rowOff>
    </xdr:from>
    <xdr:to>
      <xdr:col>8</xdr:col>
      <xdr:colOff>295276</xdr:colOff>
      <xdr:row>43</xdr:row>
      <xdr:rowOff>514350</xdr:rowOff>
    </xdr:to>
    <xdr:sp macro="" textlink="">
      <xdr:nvSpPr>
        <xdr:cNvPr id="103" name="Flowchart: Alternate Process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171450" y="15716250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43</xdr:row>
      <xdr:rowOff>57150</xdr:rowOff>
    </xdr:from>
    <xdr:to>
      <xdr:col>13</xdr:col>
      <xdr:colOff>276225</xdr:colOff>
      <xdr:row>43</xdr:row>
      <xdr:rowOff>514350</xdr:rowOff>
    </xdr:to>
    <xdr:sp macro="" textlink="">
      <xdr:nvSpPr>
        <xdr:cNvPr id="104" name="Flowchart: Alternate Process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5600700" y="1571625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43</xdr:row>
      <xdr:rowOff>47625</xdr:rowOff>
    </xdr:from>
    <xdr:to>
      <xdr:col>16</xdr:col>
      <xdr:colOff>581024</xdr:colOff>
      <xdr:row>43</xdr:row>
      <xdr:rowOff>504825</xdr:rowOff>
    </xdr:to>
    <xdr:sp macro="" textlink="">
      <xdr:nvSpPr>
        <xdr:cNvPr id="105" name="Flowchart: Alternate Process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9439274" y="1570672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43</xdr:row>
      <xdr:rowOff>38100</xdr:rowOff>
    </xdr:from>
    <xdr:to>
      <xdr:col>16</xdr:col>
      <xdr:colOff>523874</xdr:colOff>
      <xdr:row>43</xdr:row>
      <xdr:rowOff>485775</xdr:rowOff>
    </xdr:to>
    <xdr:sp macro="" textlink="">
      <xdr:nvSpPr>
        <xdr:cNvPr id="106" name="6-Point Star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10772774" y="156972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1</xdr:col>
      <xdr:colOff>104775</xdr:colOff>
      <xdr:row>64</xdr:row>
      <xdr:rowOff>57150</xdr:rowOff>
    </xdr:from>
    <xdr:to>
      <xdr:col>8</xdr:col>
      <xdr:colOff>295276</xdr:colOff>
      <xdr:row>64</xdr:row>
      <xdr:rowOff>514350</xdr:rowOff>
    </xdr:to>
    <xdr:sp macro="" textlink="">
      <xdr:nvSpPr>
        <xdr:cNvPr id="119" name="Flowchart: Alternate Process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171450" y="46005750"/>
          <a:ext cx="5038726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64</xdr:row>
      <xdr:rowOff>57150</xdr:rowOff>
    </xdr:from>
    <xdr:to>
      <xdr:col>13</xdr:col>
      <xdr:colOff>276225</xdr:colOff>
      <xdr:row>64</xdr:row>
      <xdr:rowOff>514350</xdr:rowOff>
    </xdr:to>
    <xdr:sp macro="" textlink="">
      <xdr:nvSpPr>
        <xdr:cNvPr id="120" name="Flowchart: Alternate Process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5600700" y="4600575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64</xdr:row>
      <xdr:rowOff>47625</xdr:rowOff>
    </xdr:from>
    <xdr:to>
      <xdr:col>16</xdr:col>
      <xdr:colOff>581024</xdr:colOff>
      <xdr:row>64</xdr:row>
      <xdr:rowOff>504825</xdr:rowOff>
    </xdr:to>
    <xdr:sp macro="" textlink="">
      <xdr:nvSpPr>
        <xdr:cNvPr id="121" name="Flowchart: Alternate Process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9439274" y="4599622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64</xdr:row>
      <xdr:rowOff>38100</xdr:rowOff>
    </xdr:from>
    <xdr:to>
      <xdr:col>16</xdr:col>
      <xdr:colOff>523874</xdr:colOff>
      <xdr:row>64</xdr:row>
      <xdr:rowOff>485775</xdr:rowOff>
    </xdr:to>
    <xdr:sp macro="" textlink="">
      <xdr:nvSpPr>
        <xdr:cNvPr id="122" name="6-Point Star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10772774" y="459867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</xdr:col>
      <xdr:colOff>104775</xdr:colOff>
      <xdr:row>86</xdr:row>
      <xdr:rowOff>57150</xdr:rowOff>
    </xdr:from>
    <xdr:to>
      <xdr:col>8</xdr:col>
      <xdr:colOff>540826</xdr:colOff>
      <xdr:row>86</xdr:row>
      <xdr:rowOff>514350</xdr:rowOff>
    </xdr:to>
    <xdr:sp macro="" textlink="">
      <xdr:nvSpPr>
        <xdr:cNvPr id="123" name="Flowchart: Alternate Process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169351" y="30940752"/>
          <a:ext cx="5158191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86</xdr:row>
      <xdr:rowOff>57150</xdr:rowOff>
    </xdr:from>
    <xdr:to>
      <xdr:col>13</xdr:col>
      <xdr:colOff>276225</xdr:colOff>
      <xdr:row>86</xdr:row>
      <xdr:rowOff>514350</xdr:rowOff>
    </xdr:to>
    <xdr:sp macro="" textlink="">
      <xdr:nvSpPr>
        <xdr:cNvPr id="124" name="Flowchart: Alternate Process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5600700" y="53578125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86</xdr:row>
      <xdr:rowOff>47625</xdr:rowOff>
    </xdr:from>
    <xdr:to>
      <xdr:col>16</xdr:col>
      <xdr:colOff>581024</xdr:colOff>
      <xdr:row>86</xdr:row>
      <xdr:rowOff>504825</xdr:rowOff>
    </xdr:to>
    <xdr:sp macro="" textlink="">
      <xdr:nvSpPr>
        <xdr:cNvPr id="125" name="Flowchart: Alternate Process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9439274" y="53568600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86</xdr:row>
      <xdr:rowOff>38100</xdr:rowOff>
    </xdr:from>
    <xdr:to>
      <xdr:col>16</xdr:col>
      <xdr:colOff>523874</xdr:colOff>
      <xdr:row>86</xdr:row>
      <xdr:rowOff>485775</xdr:rowOff>
    </xdr:to>
    <xdr:sp macro="" textlink="">
      <xdr:nvSpPr>
        <xdr:cNvPr id="126" name="6-Point Star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10772774" y="53559075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1</xdr:col>
      <xdr:colOff>104775</xdr:colOff>
      <xdr:row>107</xdr:row>
      <xdr:rowOff>57150</xdr:rowOff>
    </xdr:from>
    <xdr:to>
      <xdr:col>8</xdr:col>
      <xdr:colOff>540827</xdr:colOff>
      <xdr:row>107</xdr:row>
      <xdr:rowOff>514350</xdr:rowOff>
    </xdr:to>
    <xdr:sp macro="" textlink="">
      <xdr:nvSpPr>
        <xdr:cNvPr id="143" name="Flowchart: Alternate Process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169351" y="53397150"/>
          <a:ext cx="523084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107</xdr:row>
      <xdr:rowOff>57150</xdr:rowOff>
    </xdr:from>
    <xdr:to>
      <xdr:col>13</xdr:col>
      <xdr:colOff>276225</xdr:colOff>
      <xdr:row>107</xdr:row>
      <xdr:rowOff>514350</xdr:rowOff>
    </xdr:to>
    <xdr:sp macro="" textlink="">
      <xdr:nvSpPr>
        <xdr:cNvPr id="144" name="Flowchart: Alternate Process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5600700" y="9144000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107</xdr:row>
      <xdr:rowOff>47625</xdr:rowOff>
    </xdr:from>
    <xdr:to>
      <xdr:col>16</xdr:col>
      <xdr:colOff>581024</xdr:colOff>
      <xdr:row>107</xdr:row>
      <xdr:rowOff>504825</xdr:rowOff>
    </xdr:to>
    <xdr:sp macro="" textlink="">
      <xdr:nvSpPr>
        <xdr:cNvPr id="145" name="Flowchart: Alternate Process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9439274" y="9143047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107</xdr:row>
      <xdr:rowOff>38100</xdr:rowOff>
    </xdr:from>
    <xdr:to>
      <xdr:col>16</xdr:col>
      <xdr:colOff>523874</xdr:colOff>
      <xdr:row>107</xdr:row>
      <xdr:rowOff>485775</xdr:rowOff>
    </xdr:to>
    <xdr:sp macro="" textlink="">
      <xdr:nvSpPr>
        <xdr:cNvPr id="146" name="6-Point Star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10772774" y="9142095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06</a:t>
          </a:r>
        </a:p>
      </xdr:txBody>
    </xdr:sp>
    <xdr:clientData/>
  </xdr:twoCellAnchor>
  <xdr:twoCellAnchor>
    <xdr:from>
      <xdr:col>1</xdr:col>
      <xdr:colOff>104775</xdr:colOff>
      <xdr:row>128</xdr:row>
      <xdr:rowOff>57150</xdr:rowOff>
    </xdr:from>
    <xdr:to>
      <xdr:col>8</xdr:col>
      <xdr:colOff>532755</xdr:colOff>
      <xdr:row>128</xdr:row>
      <xdr:rowOff>514350</xdr:rowOff>
    </xdr:to>
    <xdr:sp macro="" textlink="">
      <xdr:nvSpPr>
        <xdr:cNvPr id="155" name="Flowchart: Alternate Process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169351" y="60984862"/>
          <a:ext cx="52227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128</xdr:row>
      <xdr:rowOff>57150</xdr:rowOff>
    </xdr:from>
    <xdr:to>
      <xdr:col>13</xdr:col>
      <xdr:colOff>276225</xdr:colOff>
      <xdr:row>128</xdr:row>
      <xdr:rowOff>514350</xdr:rowOff>
    </xdr:to>
    <xdr:sp macro="" textlink="">
      <xdr:nvSpPr>
        <xdr:cNvPr id="156" name="Flowchart: Alternate Process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5600700" y="114157125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128</xdr:row>
      <xdr:rowOff>47625</xdr:rowOff>
    </xdr:from>
    <xdr:to>
      <xdr:col>16</xdr:col>
      <xdr:colOff>581024</xdr:colOff>
      <xdr:row>128</xdr:row>
      <xdr:rowOff>504825</xdr:rowOff>
    </xdr:to>
    <xdr:sp macro="" textlink="">
      <xdr:nvSpPr>
        <xdr:cNvPr id="157" name="Flowchart: Alternate Process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9439274" y="114147600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128</xdr:row>
      <xdr:rowOff>38100</xdr:rowOff>
    </xdr:from>
    <xdr:to>
      <xdr:col>16</xdr:col>
      <xdr:colOff>523874</xdr:colOff>
      <xdr:row>128</xdr:row>
      <xdr:rowOff>485775</xdr:rowOff>
    </xdr:to>
    <xdr:sp macro="" textlink="">
      <xdr:nvSpPr>
        <xdr:cNvPr id="158" name="6-Point Star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10772774" y="114138075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07</a:t>
          </a:r>
        </a:p>
      </xdr:txBody>
    </xdr:sp>
    <xdr:clientData/>
  </xdr:twoCellAnchor>
  <xdr:twoCellAnchor>
    <xdr:from>
      <xdr:col>9</xdr:col>
      <xdr:colOff>76200</xdr:colOff>
      <xdr:row>150</xdr:row>
      <xdr:rowOff>57150</xdr:rowOff>
    </xdr:from>
    <xdr:to>
      <xdr:col>13</xdr:col>
      <xdr:colOff>276225</xdr:colOff>
      <xdr:row>150</xdr:row>
      <xdr:rowOff>514350</xdr:rowOff>
    </xdr:to>
    <xdr:sp macro="" textlink="">
      <xdr:nvSpPr>
        <xdr:cNvPr id="160" name="Flowchart: Alternate Process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5600700" y="121729500"/>
          <a:ext cx="3695700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150</xdr:row>
      <xdr:rowOff>47625</xdr:rowOff>
    </xdr:from>
    <xdr:to>
      <xdr:col>16</xdr:col>
      <xdr:colOff>581024</xdr:colOff>
      <xdr:row>150</xdr:row>
      <xdr:rowOff>504825</xdr:rowOff>
    </xdr:to>
    <xdr:sp macro="" textlink="">
      <xdr:nvSpPr>
        <xdr:cNvPr id="161" name="Flowchart: Alternate Process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9439274" y="121719975"/>
          <a:ext cx="1895475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150</xdr:row>
      <xdr:rowOff>38100</xdr:rowOff>
    </xdr:from>
    <xdr:to>
      <xdr:col>16</xdr:col>
      <xdr:colOff>523874</xdr:colOff>
      <xdr:row>150</xdr:row>
      <xdr:rowOff>485775</xdr:rowOff>
    </xdr:to>
    <xdr:sp macro="" textlink="">
      <xdr:nvSpPr>
        <xdr:cNvPr id="162" name="6-Point Star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10772774" y="12171045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08</a:t>
          </a:r>
        </a:p>
      </xdr:txBody>
    </xdr:sp>
    <xdr:clientData/>
  </xdr:twoCellAnchor>
  <xdr:oneCellAnchor>
    <xdr:from>
      <xdr:col>9</xdr:col>
      <xdr:colOff>438795</xdr:colOff>
      <xdr:row>63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911634" y="241181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104775</xdr:colOff>
      <xdr:row>173</xdr:row>
      <xdr:rowOff>57150</xdr:rowOff>
    </xdr:from>
    <xdr:to>
      <xdr:col>8</xdr:col>
      <xdr:colOff>295276</xdr:colOff>
      <xdr:row>173</xdr:row>
      <xdr:rowOff>514350</xdr:rowOff>
    </xdr:to>
    <xdr:sp macro="" textlink="">
      <xdr:nvSpPr>
        <xdr:cNvPr id="183" name="Flowchart: Alternate Process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169351" y="152101981"/>
          <a:ext cx="4985289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173</xdr:row>
      <xdr:rowOff>57150</xdr:rowOff>
    </xdr:from>
    <xdr:to>
      <xdr:col>13</xdr:col>
      <xdr:colOff>276225</xdr:colOff>
      <xdr:row>173</xdr:row>
      <xdr:rowOff>514350</xdr:rowOff>
    </xdr:to>
    <xdr:sp macro="" textlink="">
      <xdr:nvSpPr>
        <xdr:cNvPr id="184" name="Flowchart: Alternate Process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5549039" y="152101981"/>
          <a:ext cx="38243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173</xdr:row>
      <xdr:rowOff>47625</xdr:rowOff>
    </xdr:from>
    <xdr:to>
      <xdr:col>16</xdr:col>
      <xdr:colOff>581024</xdr:colOff>
      <xdr:row>173</xdr:row>
      <xdr:rowOff>504825</xdr:rowOff>
    </xdr:to>
    <xdr:sp macro="" textlink="">
      <xdr:nvSpPr>
        <xdr:cNvPr id="185" name="Flowchart: Alternate Process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9516281" y="152092456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173</xdr:row>
      <xdr:rowOff>38100</xdr:rowOff>
    </xdr:from>
    <xdr:to>
      <xdr:col>16</xdr:col>
      <xdr:colOff>523874</xdr:colOff>
      <xdr:row>173</xdr:row>
      <xdr:rowOff>485775</xdr:rowOff>
    </xdr:to>
    <xdr:sp macro="" textlink="">
      <xdr:nvSpPr>
        <xdr:cNvPr id="186" name="6-Point Star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10787142" y="152082931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173</xdr:row>
      <xdr:rowOff>57150</xdr:rowOff>
    </xdr:from>
    <xdr:to>
      <xdr:col>8</xdr:col>
      <xdr:colOff>295276</xdr:colOff>
      <xdr:row>173</xdr:row>
      <xdr:rowOff>514350</xdr:rowOff>
    </xdr:to>
    <xdr:sp macro="" textlink="">
      <xdr:nvSpPr>
        <xdr:cNvPr id="187" name="Flowchart: Alternate Process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169351" y="152101981"/>
          <a:ext cx="4985289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173</xdr:row>
      <xdr:rowOff>57150</xdr:rowOff>
    </xdr:from>
    <xdr:to>
      <xdr:col>13</xdr:col>
      <xdr:colOff>276225</xdr:colOff>
      <xdr:row>173</xdr:row>
      <xdr:rowOff>514350</xdr:rowOff>
    </xdr:to>
    <xdr:sp macro="" textlink="">
      <xdr:nvSpPr>
        <xdr:cNvPr id="188" name="Flowchart: Alternate Process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5549039" y="152101981"/>
          <a:ext cx="38243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173</xdr:row>
      <xdr:rowOff>47625</xdr:rowOff>
    </xdr:from>
    <xdr:to>
      <xdr:col>16</xdr:col>
      <xdr:colOff>581024</xdr:colOff>
      <xdr:row>173</xdr:row>
      <xdr:rowOff>504825</xdr:rowOff>
    </xdr:to>
    <xdr:sp macro="" textlink="">
      <xdr:nvSpPr>
        <xdr:cNvPr id="189" name="Flowchart: Alternate Process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9516281" y="152092456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173</xdr:row>
      <xdr:rowOff>38100</xdr:rowOff>
    </xdr:from>
    <xdr:to>
      <xdr:col>16</xdr:col>
      <xdr:colOff>523874</xdr:colOff>
      <xdr:row>173</xdr:row>
      <xdr:rowOff>485775</xdr:rowOff>
    </xdr:to>
    <xdr:sp macro="" textlink="">
      <xdr:nvSpPr>
        <xdr:cNvPr id="190" name="6-Point Star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10787142" y="152082931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09</a:t>
          </a:r>
        </a:p>
      </xdr:txBody>
    </xdr:sp>
    <xdr:clientData/>
  </xdr:twoCellAnchor>
  <xdr:twoCellAnchor>
    <xdr:from>
      <xdr:col>1</xdr:col>
      <xdr:colOff>104775</xdr:colOff>
      <xdr:row>195</xdr:row>
      <xdr:rowOff>57150</xdr:rowOff>
    </xdr:from>
    <xdr:to>
      <xdr:col>8</xdr:col>
      <xdr:colOff>295276</xdr:colOff>
      <xdr:row>195</xdr:row>
      <xdr:rowOff>514350</xdr:rowOff>
    </xdr:to>
    <xdr:sp macro="" textlink="">
      <xdr:nvSpPr>
        <xdr:cNvPr id="107" name="Flowchart: Alternate Process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169351" y="83497764"/>
          <a:ext cx="4985289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195</xdr:row>
      <xdr:rowOff>57150</xdr:rowOff>
    </xdr:from>
    <xdr:to>
      <xdr:col>13</xdr:col>
      <xdr:colOff>276225</xdr:colOff>
      <xdr:row>195</xdr:row>
      <xdr:rowOff>514350</xdr:rowOff>
    </xdr:to>
    <xdr:sp macro="" textlink="">
      <xdr:nvSpPr>
        <xdr:cNvPr id="108" name="Flowchart: Alternate Process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5549039" y="83497764"/>
          <a:ext cx="38243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195</xdr:row>
      <xdr:rowOff>47625</xdr:rowOff>
    </xdr:from>
    <xdr:to>
      <xdr:col>16</xdr:col>
      <xdr:colOff>581024</xdr:colOff>
      <xdr:row>195</xdr:row>
      <xdr:rowOff>504825</xdr:rowOff>
    </xdr:to>
    <xdr:sp macro="" textlink="">
      <xdr:nvSpPr>
        <xdr:cNvPr id="109" name="Flowchart: Alternate Process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9516281" y="83488239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195</xdr:row>
      <xdr:rowOff>38100</xdr:rowOff>
    </xdr:from>
    <xdr:to>
      <xdr:col>16</xdr:col>
      <xdr:colOff>523874</xdr:colOff>
      <xdr:row>195</xdr:row>
      <xdr:rowOff>485775</xdr:rowOff>
    </xdr:to>
    <xdr:sp macro="" textlink="">
      <xdr:nvSpPr>
        <xdr:cNvPr id="110" name="6-Point Star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10787142" y="83478714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195</xdr:row>
      <xdr:rowOff>57150</xdr:rowOff>
    </xdr:from>
    <xdr:to>
      <xdr:col>8</xdr:col>
      <xdr:colOff>295276</xdr:colOff>
      <xdr:row>195</xdr:row>
      <xdr:rowOff>514350</xdr:rowOff>
    </xdr:to>
    <xdr:sp macro="" textlink="">
      <xdr:nvSpPr>
        <xdr:cNvPr id="111" name="Flowchart: Alternate Process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169351" y="83497764"/>
          <a:ext cx="4985289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195</xdr:row>
      <xdr:rowOff>57150</xdr:rowOff>
    </xdr:from>
    <xdr:to>
      <xdr:col>13</xdr:col>
      <xdr:colOff>276225</xdr:colOff>
      <xdr:row>195</xdr:row>
      <xdr:rowOff>514350</xdr:rowOff>
    </xdr:to>
    <xdr:sp macro="" textlink="">
      <xdr:nvSpPr>
        <xdr:cNvPr id="112" name="Flowchart: Alternate Process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5549039" y="83497764"/>
          <a:ext cx="38243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195</xdr:row>
      <xdr:rowOff>47625</xdr:rowOff>
    </xdr:from>
    <xdr:to>
      <xdr:col>16</xdr:col>
      <xdr:colOff>581024</xdr:colOff>
      <xdr:row>195</xdr:row>
      <xdr:rowOff>504825</xdr:rowOff>
    </xdr:to>
    <xdr:sp macro="" textlink="">
      <xdr:nvSpPr>
        <xdr:cNvPr id="113" name="Flowchart: Alternate Process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9516281" y="83488239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195</xdr:row>
      <xdr:rowOff>38100</xdr:rowOff>
    </xdr:from>
    <xdr:to>
      <xdr:col>16</xdr:col>
      <xdr:colOff>523874</xdr:colOff>
      <xdr:row>195</xdr:row>
      <xdr:rowOff>485775</xdr:rowOff>
    </xdr:to>
    <xdr:sp macro="" textlink="">
      <xdr:nvSpPr>
        <xdr:cNvPr id="114" name="6-Point Star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10787142" y="83478714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1</xdr:col>
      <xdr:colOff>104775</xdr:colOff>
      <xdr:row>219</xdr:row>
      <xdr:rowOff>57150</xdr:rowOff>
    </xdr:from>
    <xdr:to>
      <xdr:col>8</xdr:col>
      <xdr:colOff>295276</xdr:colOff>
      <xdr:row>219</xdr:row>
      <xdr:rowOff>514350</xdr:rowOff>
    </xdr:to>
    <xdr:sp macro="" textlink="">
      <xdr:nvSpPr>
        <xdr:cNvPr id="147" name="Flowchart: Alternate Process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169351" y="98673188"/>
          <a:ext cx="4985289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219</xdr:row>
      <xdr:rowOff>57150</xdr:rowOff>
    </xdr:from>
    <xdr:to>
      <xdr:col>13</xdr:col>
      <xdr:colOff>276225</xdr:colOff>
      <xdr:row>219</xdr:row>
      <xdr:rowOff>514350</xdr:rowOff>
    </xdr:to>
    <xdr:sp macro="" textlink="">
      <xdr:nvSpPr>
        <xdr:cNvPr id="148" name="Flowchart: Alternate Process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5549039" y="98673188"/>
          <a:ext cx="38243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219</xdr:row>
      <xdr:rowOff>47625</xdr:rowOff>
    </xdr:from>
    <xdr:to>
      <xdr:col>16</xdr:col>
      <xdr:colOff>581024</xdr:colOff>
      <xdr:row>219</xdr:row>
      <xdr:rowOff>504825</xdr:rowOff>
    </xdr:to>
    <xdr:sp macro="" textlink="">
      <xdr:nvSpPr>
        <xdr:cNvPr id="149" name="Flowchart: Alternate Process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9516281" y="98663663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219</xdr:row>
      <xdr:rowOff>38100</xdr:rowOff>
    </xdr:from>
    <xdr:to>
      <xdr:col>16</xdr:col>
      <xdr:colOff>523874</xdr:colOff>
      <xdr:row>219</xdr:row>
      <xdr:rowOff>485775</xdr:rowOff>
    </xdr:to>
    <xdr:sp macro="" textlink="">
      <xdr:nvSpPr>
        <xdr:cNvPr id="150" name="6-Point Star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10787142" y="98654138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219</xdr:row>
      <xdr:rowOff>57150</xdr:rowOff>
    </xdr:from>
    <xdr:to>
      <xdr:col>8</xdr:col>
      <xdr:colOff>295276</xdr:colOff>
      <xdr:row>219</xdr:row>
      <xdr:rowOff>514350</xdr:rowOff>
    </xdr:to>
    <xdr:sp macro="" textlink="">
      <xdr:nvSpPr>
        <xdr:cNvPr id="151" name="Flowchart: Alternate Process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169351" y="98673188"/>
          <a:ext cx="4985289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219</xdr:row>
      <xdr:rowOff>57150</xdr:rowOff>
    </xdr:from>
    <xdr:to>
      <xdr:col>13</xdr:col>
      <xdr:colOff>276225</xdr:colOff>
      <xdr:row>219</xdr:row>
      <xdr:rowOff>514350</xdr:rowOff>
    </xdr:to>
    <xdr:sp macro="" textlink="">
      <xdr:nvSpPr>
        <xdr:cNvPr id="152" name="Flowchart: Alternate Process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5549039" y="98673188"/>
          <a:ext cx="38243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219</xdr:row>
      <xdr:rowOff>47625</xdr:rowOff>
    </xdr:from>
    <xdr:to>
      <xdr:col>16</xdr:col>
      <xdr:colOff>581024</xdr:colOff>
      <xdr:row>219</xdr:row>
      <xdr:rowOff>504825</xdr:rowOff>
    </xdr:to>
    <xdr:sp macro="" textlink="">
      <xdr:nvSpPr>
        <xdr:cNvPr id="153" name="Flowchart: Alternate Process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9516281" y="98663663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219</xdr:row>
      <xdr:rowOff>38100</xdr:rowOff>
    </xdr:from>
    <xdr:to>
      <xdr:col>16</xdr:col>
      <xdr:colOff>523874</xdr:colOff>
      <xdr:row>219</xdr:row>
      <xdr:rowOff>485775</xdr:rowOff>
    </xdr:to>
    <xdr:sp macro="" textlink="">
      <xdr:nvSpPr>
        <xdr:cNvPr id="154" name="6-Point Star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10787142" y="98654138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1</xdr:col>
      <xdr:colOff>104775</xdr:colOff>
      <xdr:row>300</xdr:row>
      <xdr:rowOff>57150</xdr:rowOff>
    </xdr:from>
    <xdr:to>
      <xdr:col>8</xdr:col>
      <xdr:colOff>295276</xdr:colOff>
      <xdr:row>300</xdr:row>
      <xdr:rowOff>514350</xdr:rowOff>
    </xdr:to>
    <xdr:sp macro="" textlink="">
      <xdr:nvSpPr>
        <xdr:cNvPr id="167" name="Flowchart: Alternate Process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169351" y="106260900"/>
          <a:ext cx="4985289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300</xdr:row>
      <xdr:rowOff>57150</xdr:rowOff>
    </xdr:from>
    <xdr:to>
      <xdr:col>13</xdr:col>
      <xdr:colOff>276225</xdr:colOff>
      <xdr:row>300</xdr:row>
      <xdr:rowOff>514350</xdr:rowOff>
    </xdr:to>
    <xdr:sp macro="" textlink="">
      <xdr:nvSpPr>
        <xdr:cNvPr id="168" name="Flowchart: Alternate Process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5549039" y="106260900"/>
          <a:ext cx="38243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300</xdr:row>
      <xdr:rowOff>47625</xdr:rowOff>
    </xdr:from>
    <xdr:to>
      <xdr:col>16</xdr:col>
      <xdr:colOff>581024</xdr:colOff>
      <xdr:row>300</xdr:row>
      <xdr:rowOff>504825</xdr:rowOff>
    </xdr:to>
    <xdr:sp macro="" textlink="">
      <xdr:nvSpPr>
        <xdr:cNvPr id="169" name="Flowchart: Alternate Process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9516281" y="106251375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300</xdr:row>
      <xdr:rowOff>38100</xdr:rowOff>
    </xdr:from>
    <xdr:to>
      <xdr:col>16</xdr:col>
      <xdr:colOff>523874</xdr:colOff>
      <xdr:row>300</xdr:row>
      <xdr:rowOff>485775</xdr:rowOff>
    </xdr:to>
    <xdr:sp macro="" textlink="">
      <xdr:nvSpPr>
        <xdr:cNvPr id="170" name="6-Point Star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10787142" y="10624185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300</xdr:row>
      <xdr:rowOff>57150</xdr:rowOff>
    </xdr:from>
    <xdr:to>
      <xdr:col>8</xdr:col>
      <xdr:colOff>295276</xdr:colOff>
      <xdr:row>300</xdr:row>
      <xdr:rowOff>514350</xdr:rowOff>
    </xdr:to>
    <xdr:sp macro="" textlink="">
      <xdr:nvSpPr>
        <xdr:cNvPr id="171" name="Flowchart: Alternate Process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69351" y="106260900"/>
          <a:ext cx="4985289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300</xdr:row>
      <xdr:rowOff>57150</xdr:rowOff>
    </xdr:from>
    <xdr:to>
      <xdr:col>13</xdr:col>
      <xdr:colOff>276225</xdr:colOff>
      <xdr:row>300</xdr:row>
      <xdr:rowOff>514350</xdr:rowOff>
    </xdr:to>
    <xdr:sp macro="" textlink="">
      <xdr:nvSpPr>
        <xdr:cNvPr id="172" name="Flowchart: Alternate Process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5549039" y="106260900"/>
          <a:ext cx="382436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300</xdr:row>
      <xdr:rowOff>47625</xdr:rowOff>
    </xdr:from>
    <xdr:to>
      <xdr:col>16</xdr:col>
      <xdr:colOff>581024</xdr:colOff>
      <xdr:row>300</xdr:row>
      <xdr:rowOff>504825</xdr:rowOff>
    </xdr:to>
    <xdr:sp macro="" textlink="">
      <xdr:nvSpPr>
        <xdr:cNvPr id="173" name="Flowchart: Alternate Process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9516281" y="106251375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300</xdr:row>
      <xdr:rowOff>38100</xdr:rowOff>
    </xdr:from>
    <xdr:to>
      <xdr:col>16</xdr:col>
      <xdr:colOff>523874</xdr:colOff>
      <xdr:row>300</xdr:row>
      <xdr:rowOff>485775</xdr:rowOff>
    </xdr:to>
    <xdr:sp macro="" textlink="">
      <xdr:nvSpPr>
        <xdr:cNvPr id="174" name="6-Point Star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10787142" y="10624185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15</a:t>
          </a:r>
        </a:p>
      </xdr:txBody>
    </xdr:sp>
    <xdr:clientData/>
  </xdr:twoCellAnchor>
  <xdr:twoCellAnchor>
    <xdr:from>
      <xdr:col>1</xdr:col>
      <xdr:colOff>104775</xdr:colOff>
      <xdr:row>239</xdr:row>
      <xdr:rowOff>57150</xdr:rowOff>
    </xdr:from>
    <xdr:to>
      <xdr:col>8</xdr:col>
      <xdr:colOff>295276</xdr:colOff>
      <xdr:row>239</xdr:row>
      <xdr:rowOff>514350</xdr:rowOff>
    </xdr:to>
    <xdr:sp macro="" textlink="">
      <xdr:nvSpPr>
        <xdr:cNvPr id="22" name="Flowchart: Alternate Process 21">
          <a:extLst>
            <a:ext uri="{FF2B5EF4-FFF2-40B4-BE49-F238E27FC236}">
              <a16:creationId xmlns:a16="http://schemas.microsoft.com/office/drawing/2014/main" id="{85A004A9-DDFE-48AB-94A1-D9A4A81F75F4}"/>
            </a:ext>
          </a:extLst>
        </xdr:cNvPr>
        <xdr:cNvSpPr/>
      </xdr:nvSpPr>
      <xdr:spPr>
        <a:xfrm>
          <a:off x="169351" y="76257150"/>
          <a:ext cx="4896497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239</xdr:row>
      <xdr:rowOff>57150</xdr:rowOff>
    </xdr:from>
    <xdr:to>
      <xdr:col>13</xdr:col>
      <xdr:colOff>276225</xdr:colOff>
      <xdr:row>239</xdr:row>
      <xdr:rowOff>514350</xdr:rowOff>
    </xdr:to>
    <xdr:sp macro="" textlink="">
      <xdr:nvSpPr>
        <xdr:cNvPr id="23" name="Flowchart: Alternate Process 22">
          <a:extLst>
            <a:ext uri="{FF2B5EF4-FFF2-40B4-BE49-F238E27FC236}">
              <a16:creationId xmlns:a16="http://schemas.microsoft.com/office/drawing/2014/main" id="{9561ED0C-F610-48B4-87B4-C2D2705A8A63}"/>
            </a:ext>
          </a:extLst>
        </xdr:cNvPr>
        <xdr:cNvSpPr/>
      </xdr:nvSpPr>
      <xdr:spPr>
        <a:xfrm>
          <a:off x="5476391" y="76257150"/>
          <a:ext cx="386472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239</xdr:row>
      <xdr:rowOff>47625</xdr:rowOff>
    </xdr:from>
    <xdr:to>
      <xdr:col>16</xdr:col>
      <xdr:colOff>581024</xdr:colOff>
      <xdr:row>239</xdr:row>
      <xdr:rowOff>504825</xdr:rowOff>
    </xdr:to>
    <xdr:sp macro="" textlink="">
      <xdr:nvSpPr>
        <xdr:cNvPr id="24" name="Flowchart: Alternate Process 23">
          <a:extLst>
            <a:ext uri="{FF2B5EF4-FFF2-40B4-BE49-F238E27FC236}">
              <a16:creationId xmlns:a16="http://schemas.microsoft.com/office/drawing/2014/main" id="{8852DED4-31C9-4BA5-8130-4E71ED1756BB}"/>
            </a:ext>
          </a:extLst>
        </xdr:cNvPr>
        <xdr:cNvSpPr/>
      </xdr:nvSpPr>
      <xdr:spPr>
        <a:xfrm>
          <a:off x="9483993" y="76247625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239</xdr:row>
      <xdr:rowOff>38100</xdr:rowOff>
    </xdr:from>
    <xdr:to>
      <xdr:col>16</xdr:col>
      <xdr:colOff>523874</xdr:colOff>
      <xdr:row>239</xdr:row>
      <xdr:rowOff>485775</xdr:rowOff>
    </xdr:to>
    <xdr:sp macro="" textlink="">
      <xdr:nvSpPr>
        <xdr:cNvPr id="25" name="6-Point Star 149">
          <a:extLst>
            <a:ext uri="{FF2B5EF4-FFF2-40B4-BE49-F238E27FC236}">
              <a16:creationId xmlns:a16="http://schemas.microsoft.com/office/drawing/2014/main" id="{564D3E5C-F088-4374-80B6-0B43730DCDE7}"/>
            </a:ext>
          </a:extLst>
        </xdr:cNvPr>
        <xdr:cNvSpPr/>
      </xdr:nvSpPr>
      <xdr:spPr>
        <a:xfrm>
          <a:off x="10754854" y="762381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239</xdr:row>
      <xdr:rowOff>57150</xdr:rowOff>
    </xdr:from>
    <xdr:to>
      <xdr:col>8</xdr:col>
      <xdr:colOff>295276</xdr:colOff>
      <xdr:row>239</xdr:row>
      <xdr:rowOff>514350</xdr:rowOff>
    </xdr:to>
    <xdr:sp macro="" textlink="">
      <xdr:nvSpPr>
        <xdr:cNvPr id="26" name="Flowchart: Alternate Process 25">
          <a:extLst>
            <a:ext uri="{FF2B5EF4-FFF2-40B4-BE49-F238E27FC236}">
              <a16:creationId xmlns:a16="http://schemas.microsoft.com/office/drawing/2014/main" id="{63F7D4CB-4D4D-4755-A4A1-A213FAB206F6}"/>
            </a:ext>
          </a:extLst>
        </xdr:cNvPr>
        <xdr:cNvSpPr/>
      </xdr:nvSpPr>
      <xdr:spPr>
        <a:xfrm>
          <a:off x="169351" y="76257150"/>
          <a:ext cx="4896497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239</xdr:row>
      <xdr:rowOff>57150</xdr:rowOff>
    </xdr:from>
    <xdr:to>
      <xdr:col>13</xdr:col>
      <xdr:colOff>276225</xdr:colOff>
      <xdr:row>239</xdr:row>
      <xdr:rowOff>514350</xdr:rowOff>
    </xdr:to>
    <xdr:sp macro="" textlink="">
      <xdr:nvSpPr>
        <xdr:cNvPr id="27" name="Flowchart: Alternate Process 26">
          <a:extLst>
            <a:ext uri="{FF2B5EF4-FFF2-40B4-BE49-F238E27FC236}">
              <a16:creationId xmlns:a16="http://schemas.microsoft.com/office/drawing/2014/main" id="{BC03B693-89DD-4780-AAF4-BB1BF1CDBDF5}"/>
            </a:ext>
          </a:extLst>
        </xdr:cNvPr>
        <xdr:cNvSpPr/>
      </xdr:nvSpPr>
      <xdr:spPr>
        <a:xfrm>
          <a:off x="5476391" y="76257150"/>
          <a:ext cx="386472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239</xdr:row>
      <xdr:rowOff>47625</xdr:rowOff>
    </xdr:from>
    <xdr:to>
      <xdr:col>16</xdr:col>
      <xdr:colOff>581024</xdr:colOff>
      <xdr:row>239</xdr:row>
      <xdr:rowOff>504825</xdr:rowOff>
    </xdr:to>
    <xdr:sp macro="" textlink="">
      <xdr:nvSpPr>
        <xdr:cNvPr id="28" name="Flowchart: Alternate Process 27">
          <a:extLst>
            <a:ext uri="{FF2B5EF4-FFF2-40B4-BE49-F238E27FC236}">
              <a16:creationId xmlns:a16="http://schemas.microsoft.com/office/drawing/2014/main" id="{1D5E4428-3407-4EFD-9557-06895DC4B206}"/>
            </a:ext>
          </a:extLst>
        </xdr:cNvPr>
        <xdr:cNvSpPr/>
      </xdr:nvSpPr>
      <xdr:spPr>
        <a:xfrm>
          <a:off x="9483993" y="76247625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239</xdr:row>
      <xdr:rowOff>38100</xdr:rowOff>
    </xdr:from>
    <xdr:to>
      <xdr:col>16</xdr:col>
      <xdr:colOff>523874</xdr:colOff>
      <xdr:row>239</xdr:row>
      <xdr:rowOff>485775</xdr:rowOff>
    </xdr:to>
    <xdr:sp macro="" textlink="">
      <xdr:nvSpPr>
        <xdr:cNvPr id="29" name="6-Point Star 153">
          <a:extLst>
            <a:ext uri="{FF2B5EF4-FFF2-40B4-BE49-F238E27FC236}">
              <a16:creationId xmlns:a16="http://schemas.microsoft.com/office/drawing/2014/main" id="{92E0E1B5-7CA9-4BBE-BEFE-033D266FDD8A}"/>
            </a:ext>
          </a:extLst>
        </xdr:cNvPr>
        <xdr:cNvSpPr/>
      </xdr:nvSpPr>
      <xdr:spPr>
        <a:xfrm>
          <a:off x="10754854" y="76238100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1</xdr:col>
      <xdr:colOff>104775</xdr:colOff>
      <xdr:row>259</xdr:row>
      <xdr:rowOff>57150</xdr:rowOff>
    </xdr:from>
    <xdr:to>
      <xdr:col>8</xdr:col>
      <xdr:colOff>295276</xdr:colOff>
      <xdr:row>259</xdr:row>
      <xdr:rowOff>514350</xdr:rowOff>
    </xdr:to>
    <xdr:sp macro="" textlink="">
      <xdr:nvSpPr>
        <xdr:cNvPr id="30" name="Flowchart: Alternate Process 29">
          <a:extLst>
            <a:ext uri="{FF2B5EF4-FFF2-40B4-BE49-F238E27FC236}">
              <a16:creationId xmlns:a16="http://schemas.microsoft.com/office/drawing/2014/main" id="{54F7BB5C-DDCA-421B-A62F-F8AFAAE91270}"/>
            </a:ext>
          </a:extLst>
        </xdr:cNvPr>
        <xdr:cNvSpPr/>
      </xdr:nvSpPr>
      <xdr:spPr>
        <a:xfrm>
          <a:off x="169351" y="103153167"/>
          <a:ext cx="4896497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259</xdr:row>
      <xdr:rowOff>57150</xdr:rowOff>
    </xdr:from>
    <xdr:to>
      <xdr:col>13</xdr:col>
      <xdr:colOff>276225</xdr:colOff>
      <xdr:row>259</xdr:row>
      <xdr:rowOff>514350</xdr:rowOff>
    </xdr:to>
    <xdr:sp macro="" textlink="">
      <xdr:nvSpPr>
        <xdr:cNvPr id="39" name="Flowchart: Alternate Process 38">
          <a:extLst>
            <a:ext uri="{FF2B5EF4-FFF2-40B4-BE49-F238E27FC236}">
              <a16:creationId xmlns:a16="http://schemas.microsoft.com/office/drawing/2014/main" id="{C0B67429-0663-4173-A81B-5218B7A16D28}"/>
            </a:ext>
          </a:extLst>
        </xdr:cNvPr>
        <xdr:cNvSpPr/>
      </xdr:nvSpPr>
      <xdr:spPr>
        <a:xfrm>
          <a:off x="5476391" y="103153167"/>
          <a:ext cx="386472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259</xdr:row>
      <xdr:rowOff>47625</xdr:rowOff>
    </xdr:from>
    <xdr:to>
      <xdr:col>16</xdr:col>
      <xdr:colOff>581024</xdr:colOff>
      <xdr:row>259</xdr:row>
      <xdr:rowOff>504825</xdr:rowOff>
    </xdr:to>
    <xdr:sp macro="" textlink="">
      <xdr:nvSpPr>
        <xdr:cNvPr id="40" name="Flowchart: Alternate Process 39">
          <a:extLst>
            <a:ext uri="{FF2B5EF4-FFF2-40B4-BE49-F238E27FC236}">
              <a16:creationId xmlns:a16="http://schemas.microsoft.com/office/drawing/2014/main" id="{99FF0B4E-33CE-49EF-8DEA-34156B55138E}"/>
            </a:ext>
          </a:extLst>
        </xdr:cNvPr>
        <xdr:cNvSpPr/>
      </xdr:nvSpPr>
      <xdr:spPr>
        <a:xfrm>
          <a:off x="9483993" y="103143642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259</xdr:row>
      <xdr:rowOff>38100</xdr:rowOff>
    </xdr:from>
    <xdr:to>
      <xdr:col>16</xdr:col>
      <xdr:colOff>523874</xdr:colOff>
      <xdr:row>259</xdr:row>
      <xdr:rowOff>485775</xdr:rowOff>
    </xdr:to>
    <xdr:sp macro="" textlink="">
      <xdr:nvSpPr>
        <xdr:cNvPr id="41" name="6-Point Star 129">
          <a:extLst>
            <a:ext uri="{FF2B5EF4-FFF2-40B4-BE49-F238E27FC236}">
              <a16:creationId xmlns:a16="http://schemas.microsoft.com/office/drawing/2014/main" id="{1A7A91C1-40AF-4F08-8CC9-6E3FAC28DDF0}"/>
            </a:ext>
          </a:extLst>
        </xdr:cNvPr>
        <xdr:cNvSpPr/>
      </xdr:nvSpPr>
      <xdr:spPr>
        <a:xfrm>
          <a:off x="10754854" y="103134117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259</xdr:row>
      <xdr:rowOff>57150</xdr:rowOff>
    </xdr:from>
    <xdr:to>
      <xdr:col>8</xdr:col>
      <xdr:colOff>295276</xdr:colOff>
      <xdr:row>259</xdr:row>
      <xdr:rowOff>514350</xdr:rowOff>
    </xdr:to>
    <xdr:sp macro="" textlink="">
      <xdr:nvSpPr>
        <xdr:cNvPr id="42" name="Flowchart: Alternate Process 41">
          <a:extLst>
            <a:ext uri="{FF2B5EF4-FFF2-40B4-BE49-F238E27FC236}">
              <a16:creationId xmlns:a16="http://schemas.microsoft.com/office/drawing/2014/main" id="{7E8B8D25-D4D9-4BDC-8BEB-7200D3B1B2EF}"/>
            </a:ext>
          </a:extLst>
        </xdr:cNvPr>
        <xdr:cNvSpPr/>
      </xdr:nvSpPr>
      <xdr:spPr>
        <a:xfrm>
          <a:off x="169351" y="103153167"/>
          <a:ext cx="4896497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259</xdr:row>
      <xdr:rowOff>57150</xdr:rowOff>
    </xdr:from>
    <xdr:to>
      <xdr:col>13</xdr:col>
      <xdr:colOff>276225</xdr:colOff>
      <xdr:row>259</xdr:row>
      <xdr:rowOff>514350</xdr:rowOff>
    </xdr:to>
    <xdr:sp macro="" textlink="">
      <xdr:nvSpPr>
        <xdr:cNvPr id="43" name="Flowchart: Alternate Process 42">
          <a:extLst>
            <a:ext uri="{FF2B5EF4-FFF2-40B4-BE49-F238E27FC236}">
              <a16:creationId xmlns:a16="http://schemas.microsoft.com/office/drawing/2014/main" id="{00C6DBD6-7AA5-4CCC-8875-892BBAD30C4D}"/>
            </a:ext>
          </a:extLst>
        </xdr:cNvPr>
        <xdr:cNvSpPr/>
      </xdr:nvSpPr>
      <xdr:spPr>
        <a:xfrm>
          <a:off x="5476391" y="103153167"/>
          <a:ext cx="386472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259</xdr:row>
      <xdr:rowOff>47625</xdr:rowOff>
    </xdr:from>
    <xdr:to>
      <xdr:col>16</xdr:col>
      <xdr:colOff>581024</xdr:colOff>
      <xdr:row>259</xdr:row>
      <xdr:rowOff>504825</xdr:rowOff>
    </xdr:to>
    <xdr:sp macro="" textlink="">
      <xdr:nvSpPr>
        <xdr:cNvPr id="44" name="Flowchart: Alternate Process 43">
          <a:extLst>
            <a:ext uri="{FF2B5EF4-FFF2-40B4-BE49-F238E27FC236}">
              <a16:creationId xmlns:a16="http://schemas.microsoft.com/office/drawing/2014/main" id="{8B596600-A54B-4FF1-9BD5-457F537F47C4}"/>
            </a:ext>
          </a:extLst>
        </xdr:cNvPr>
        <xdr:cNvSpPr/>
      </xdr:nvSpPr>
      <xdr:spPr>
        <a:xfrm>
          <a:off x="9483993" y="103143642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259</xdr:row>
      <xdr:rowOff>38100</xdr:rowOff>
    </xdr:from>
    <xdr:to>
      <xdr:col>16</xdr:col>
      <xdr:colOff>523874</xdr:colOff>
      <xdr:row>259</xdr:row>
      <xdr:rowOff>485775</xdr:rowOff>
    </xdr:to>
    <xdr:sp macro="" textlink="">
      <xdr:nvSpPr>
        <xdr:cNvPr id="45" name="6-Point Star 165">
          <a:extLst>
            <a:ext uri="{FF2B5EF4-FFF2-40B4-BE49-F238E27FC236}">
              <a16:creationId xmlns:a16="http://schemas.microsoft.com/office/drawing/2014/main" id="{3933B9AA-7E80-4DAD-90F1-EEDFB46115A6}"/>
            </a:ext>
          </a:extLst>
        </xdr:cNvPr>
        <xdr:cNvSpPr/>
      </xdr:nvSpPr>
      <xdr:spPr>
        <a:xfrm>
          <a:off x="10754854" y="103134117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13</a:t>
          </a:r>
        </a:p>
      </xdr:txBody>
    </xdr:sp>
    <xdr:clientData/>
  </xdr:twoCellAnchor>
  <xdr:twoCellAnchor>
    <xdr:from>
      <xdr:col>1</xdr:col>
      <xdr:colOff>104775</xdr:colOff>
      <xdr:row>280</xdr:row>
      <xdr:rowOff>57150</xdr:rowOff>
    </xdr:from>
    <xdr:to>
      <xdr:col>8</xdr:col>
      <xdr:colOff>295276</xdr:colOff>
      <xdr:row>280</xdr:row>
      <xdr:rowOff>514350</xdr:rowOff>
    </xdr:to>
    <xdr:sp macro="" textlink="">
      <xdr:nvSpPr>
        <xdr:cNvPr id="46" name="Flowchart: Alternate Process 45">
          <a:extLst>
            <a:ext uri="{FF2B5EF4-FFF2-40B4-BE49-F238E27FC236}">
              <a16:creationId xmlns:a16="http://schemas.microsoft.com/office/drawing/2014/main" id="{01583594-EC3C-42AE-8800-03A39002EAB2}"/>
            </a:ext>
          </a:extLst>
        </xdr:cNvPr>
        <xdr:cNvSpPr/>
      </xdr:nvSpPr>
      <xdr:spPr>
        <a:xfrm>
          <a:off x="169351" y="83699565"/>
          <a:ext cx="4896497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280</xdr:row>
      <xdr:rowOff>57150</xdr:rowOff>
    </xdr:from>
    <xdr:to>
      <xdr:col>13</xdr:col>
      <xdr:colOff>276225</xdr:colOff>
      <xdr:row>280</xdr:row>
      <xdr:rowOff>514350</xdr:rowOff>
    </xdr:to>
    <xdr:sp macro="" textlink="">
      <xdr:nvSpPr>
        <xdr:cNvPr id="47" name="Flowchart: Alternate Process 46">
          <a:extLst>
            <a:ext uri="{FF2B5EF4-FFF2-40B4-BE49-F238E27FC236}">
              <a16:creationId xmlns:a16="http://schemas.microsoft.com/office/drawing/2014/main" id="{E2D3E624-EC0E-435A-B068-3535A39AA2E7}"/>
            </a:ext>
          </a:extLst>
        </xdr:cNvPr>
        <xdr:cNvSpPr/>
      </xdr:nvSpPr>
      <xdr:spPr>
        <a:xfrm>
          <a:off x="5476391" y="83699565"/>
          <a:ext cx="386472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280</xdr:row>
      <xdr:rowOff>47625</xdr:rowOff>
    </xdr:from>
    <xdr:to>
      <xdr:col>16</xdr:col>
      <xdr:colOff>581024</xdr:colOff>
      <xdr:row>280</xdr:row>
      <xdr:rowOff>504825</xdr:rowOff>
    </xdr:to>
    <xdr:sp macro="" textlink="">
      <xdr:nvSpPr>
        <xdr:cNvPr id="48" name="Flowchart: Alternate Process 47">
          <a:extLst>
            <a:ext uri="{FF2B5EF4-FFF2-40B4-BE49-F238E27FC236}">
              <a16:creationId xmlns:a16="http://schemas.microsoft.com/office/drawing/2014/main" id="{2D1AC3F1-31AE-43F0-91EC-B8C3B4AA9391}"/>
            </a:ext>
          </a:extLst>
        </xdr:cNvPr>
        <xdr:cNvSpPr/>
      </xdr:nvSpPr>
      <xdr:spPr>
        <a:xfrm>
          <a:off x="9483993" y="83690040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280</xdr:row>
      <xdr:rowOff>38100</xdr:rowOff>
    </xdr:from>
    <xdr:to>
      <xdr:col>16</xdr:col>
      <xdr:colOff>523874</xdr:colOff>
      <xdr:row>280</xdr:row>
      <xdr:rowOff>485775</xdr:rowOff>
    </xdr:to>
    <xdr:sp macro="" textlink="">
      <xdr:nvSpPr>
        <xdr:cNvPr id="49" name="6-Point Star 149">
          <a:extLst>
            <a:ext uri="{FF2B5EF4-FFF2-40B4-BE49-F238E27FC236}">
              <a16:creationId xmlns:a16="http://schemas.microsoft.com/office/drawing/2014/main" id="{B58CDD23-392D-4D5B-8014-EDBD11D6E888}"/>
            </a:ext>
          </a:extLst>
        </xdr:cNvPr>
        <xdr:cNvSpPr/>
      </xdr:nvSpPr>
      <xdr:spPr>
        <a:xfrm>
          <a:off x="10754854" y="83680515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1</xdr:col>
      <xdr:colOff>104775</xdr:colOff>
      <xdr:row>280</xdr:row>
      <xdr:rowOff>57150</xdr:rowOff>
    </xdr:from>
    <xdr:to>
      <xdr:col>8</xdr:col>
      <xdr:colOff>295276</xdr:colOff>
      <xdr:row>280</xdr:row>
      <xdr:rowOff>514350</xdr:rowOff>
    </xdr:to>
    <xdr:sp macro="" textlink="">
      <xdr:nvSpPr>
        <xdr:cNvPr id="50" name="Flowchart: Alternate Process 49">
          <a:extLst>
            <a:ext uri="{FF2B5EF4-FFF2-40B4-BE49-F238E27FC236}">
              <a16:creationId xmlns:a16="http://schemas.microsoft.com/office/drawing/2014/main" id="{A4526093-52A5-4D22-88C5-0DC79C4CEB13}"/>
            </a:ext>
          </a:extLst>
        </xdr:cNvPr>
        <xdr:cNvSpPr/>
      </xdr:nvSpPr>
      <xdr:spPr>
        <a:xfrm>
          <a:off x="169351" y="83699565"/>
          <a:ext cx="4896497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>
              <a:solidFill>
                <a:srgbClr val="7030A0"/>
              </a:solidFill>
              <a:latin typeface="LMG-Arun"/>
            </a:rPr>
            <a:t>     VFJS                  </a:t>
          </a:r>
          <a:r>
            <a:rPr lang="en-US" sz="200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  <a:latin typeface="+mj-lt"/>
            </a:rPr>
            <a:t> Cash Book )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76200</xdr:colOff>
      <xdr:row>280</xdr:row>
      <xdr:rowOff>57150</xdr:rowOff>
    </xdr:from>
    <xdr:to>
      <xdr:col>13</xdr:col>
      <xdr:colOff>276225</xdr:colOff>
      <xdr:row>280</xdr:row>
      <xdr:rowOff>514350</xdr:rowOff>
    </xdr:to>
    <xdr:sp macro="" textlink="">
      <xdr:nvSpPr>
        <xdr:cNvPr id="59" name="Flowchart: Alternate Process 58">
          <a:extLst>
            <a:ext uri="{FF2B5EF4-FFF2-40B4-BE49-F238E27FC236}">
              <a16:creationId xmlns:a16="http://schemas.microsoft.com/office/drawing/2014/main" id="{AF890409-14DF-4773-9B94-D73D40F54665}"/>
            </a:ext>
          </a:extLst>
        </xdr:cNvPr>
        <xdr:cNvSpPr/>
      </xdr:nvSpPr>
      <xdr:spPr>
        <a:xfrm>
          <a:off x="5476391" y="83699565"/>
          <a:ext cx="3864728" cy="45720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000" baseline="0">
              <a:solidFill>
                <a:srgbClr val="7030A0"/>
              </a:solidFill>
              <a:latin typeface="+mj-lt"/>
            </a:rPr>
            <a:t>(</a:t>
          </a:r>
          <a:r>
            <a:rPr lang="en-US" sz="2000" baseline="0">
              <a:solidFill>
                <a:srgbClr val="7030A0"/>
              </a:solidFill>
            </a:rPr>
            <a:t>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S[X A]S </a:t>
          </a:r>
          <a:r>
            <a:rPr lang="en-US" sz="2000" baseline="0">
              <a:solidFill>
                <a:srgbClr val="7030A0"/>
              </a:solidFill>
              <a:latin typeface="+mj-lt"/>
            </a:rPr>
            <a:t>)                    </a:t>
          </a:r>
          <a:r>
            <a:rPr lang="en-US" sz="2000" baseline="0">
              <a:solidFill>
                <a:srgbClr val="7030A0"/>
              </a:solidFill>
              <a:latin typeface="LMG-Arun"/>
            </a:rPr>
            <a:t>HFJS</a:t>
          </a:r>
          <a:endParaRPr lang="en-US" sz="2000">
            <a:solidFill>
              <a:srgbClr val="7030A0"/>
            </a:solidFill>
          </a:endParaRPr>
        </a:p>
      </xdr:txBody>
    </xdr:sp>
    <xdr:clientData/>
  </xdr:twoCellAnchor>
  <xdr:twoCellAnchor>
    <xdr:from>
      <xdr:col>13</xdr:col>
      <xdr:colOff>419099</xdr:colOff>
      <xdr:row>280</xdr:row>
      <xdr:rowOff>47625</xdr:rowOff>
    </xdr:from>
    <xdr:to>
      <xdr:col>16</xdr:col>
      <xdr:colOff>581024</xdr:colOff>
      <xdr:row>280</xdr:row>
      <xdr:rowOff>504825</xdr:rowOff>
    </xdr:to>
    <xdr:sp macro="" textlink="">
      <xdr:nvSpPr>
        <xdr:cNvPr id="60" name="Flowchart: Alternate Process 59">
          <a:extLst>
            <a:ext uri="{FF2B5EF4-FFF2-40B4-BE49-F238E27FC236}">
              <a16:creationId xmlns:a16="http://schemas.microsoft.com/office/drawing/2014/main" id="{F142CC41-4E8A-40F1-A6AA-BF311FF36BFE}"/>
            </a:ext>
          </a:extLst>
        </xdr:cNvPr>
        <xdr:cNvSpPr/>
      </xdr:nvSpPr>
      <xdr:spPr>
        <a:xfrm>
          <a:off x="9483993" y="83690040"/>
          <a:ext cx="1832836" cy="457200"/>
        </a:xfrm>
        <a:prstGeom prst="flowChartAlternate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600">
              <a:solidFill>
                <a:srgbClr val="7030A0"/>
              </a:solidFill>
              <a:latin typeface="LMG-Arun"/>
            </a:rPr>
            <a:t>5FGFPG\AZ</a:t>
          </a:r>
          <a:r>
            <a:rPr lang="en-US" sz="1600">
              <a:latin typeface="LMG-Arun"/>
            </a:rPr>
            <a:t>   </a:t>
          </a:r>
          <a:endParaRPr lang="en-US" sz="1600"/>
        </a:p>
      </xdr:txBody>
    </xdr:sp>
    <xdr:clientData/>
  </xdr:twoCellAnchor>
  <xdr:twoCellAnchor>
    <xdr:from>
      <xdr:col>16</xdr:col>
      <xdr:colOff>19049</xdr:colOff>
      <xdr:row>280</xdr:row>
      <xdr:rowOff>38100</xdr:rowOff>
    </xdr:from>
    <xdr:to>
      <xdr:col>16</xdr:col>
      <xdr:colOff>523874</xdr:colOff>
      <xdr:row>280</xdr:row>
      <xdr:rowOff>485775</xdr:rowOff>
    </xdr:to>
    <xdr:sp macro="" textlink="">
      <xdr:nvSpPr>
        <xdr:cNvPr id="61" name="6-Point Star 153">
          <a:extLst>
            <a:ext uri="{FF2B5EF4-FFF2-40B4-BE49-F238E27FC236}">
              <a16:creationId xmlns:a16="http://schemas.microsoft.com/office/drawing/2014/main" id="{96A38CF4-DA7B-4C54-88E0-B59F90FB1A42}"/>
            </a:ext>
          </a:extLst>
        </xdr:cNvPr>
        <xdr:cNvSpPr/>
      </xdr:nvSpPr>
      <xdr:spPr>
        <a:xfrm>
          <a:off x="10754854" y="83680515"/>
          <a:ext cx="504825" cy="447675"/>
        </a:xfrm>
        <a:prstGeom prst="star6">
          <a:avLst/>
        </a:prstGeom>
        <a:ln>
          <a:solidFill>
            <a:srgbClr val="FF006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38099</xdr:colOff>
      <xdr:row>37</xdr:row>
      <xdr:rowOff>0</xdr:rowOff>
    </xdr:from>
    <xdr:ext cx="847726" cy="272639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4994328" y="7926737"/>
          <a:ext cx="847726" cy="2726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200">
            <a:latin typeface="Guj_Regular_Bold_SULEKH" pitchFamily="2" charset="0"/>
          </a:endParaRPr>
        </a:p>
      </xdr:txBody>
    </xdr:sp>
    <xdr:clientData/>
  </xdr:oneCellAnchor>
  <xdr:oneCellAnchor>
    <xdr:from>
      <xdr:col>4</xdr:col>
      <xdr:colOff>1485254</xdr:colOff>
      <xdr:row>23</xdr:row>
      <xdr:rowOff>193728</xdr:rowOff>
    </xdr:from>
    <xdr:ext cx="1000124" cy="272639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/>
      </xdr:nvSpPr>
      <xdr:spPr>
        <a:xfrm>
          <a:off x="4084449" y="7297118"/>
          <a:ext cx="1000124" cy="2726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200">
              <a:latin typeface="Guj_Regular_Bold_SULEKH" pitchFamily="2" charset="0"/>
            </a:rPr>
            <a:t>21 / 03 / 24</a:t>
          </a:r>
        </a:p>
      </xdr:txBody>
    </xdr:sp>
    <xdr:clientData/>
  </xdr:oneCellAnchor>
  <xdr:oneCellAnchor>
    <xdr:from>
      <xdr:col>4</xdr:col>
      <xdr:colOff>1485254</xdr:colOff>
      <xdr:row>24</xdr:row>
      <xdr:rowOff>193728</xdr:rowOff>
    </xdr:from>
    <xdr:ext cx="1000124" cy="272639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/>
      </xdr:nvSpPr>
      <xdr:spPr>
        <a:xfrm>
          <a:off x="4084449" y="7708792"/>
          <a:ext cx="1000124" cy="2726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200">
              <a:latin typeface="Guj_Regular_Bold_SULEKH" pitchFamily="2" charset="0"/>
            </a:rPr>
            <a:t>28 / 03 / 24</a:t>
          </a:r>
        </a:p>
      </xdr:txBody>
    </xdr:sp>
    <xdr:clientData/>
  </xdr:oneCellAnchor>
  <xdr:oneCellAnchor>
    <xdr:from>
      <xdr:col>4</xdr:col>
      <xdr:colOff>1485254</xdr:colOff>
      <xdr:row>22</xdr:row>
      <xdr:rowOff>193728</xdr:rowOff>
    </xdr:from>
    <xdr:ext cx="1000124" cy="272639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4084449" y="6885444"/>
          <a:ext cx="1000124" cy="2726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200">
              <a:latin typeface="Guj_Regular_Bold_SULEKH" pitchFamily="2" charset="0"/>
            </a:rPr>
            <a:t>05 / 02 / 24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2</xdr:row>
      <xdr:rowOff>133350</xdr:rowOff>
    </xdr:from>
    <xdr:to>
      <xdr:col>5</xdr:col>
      <xdr:colOff>885825</xdr:colOff>
      <xdr:row>5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28850" y="704850"/>
          <a:ext cx="2352675" cy="69532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</xdr:col>
      <xdr:colOff>504825</xdr:colOff>
      <xdr:row>5</xdr:row>
      <xdr:rowOff>85723</xdr:rowOff>
    </xdr:from>
    <xdr:to>
      <xdr:col>5</xdr:col>
      <xdr:colOff>1476375</xdr:colOff>
      <xdr:row>7</xdr:row>
      <xdr:rowOff>171449</xdr:rowOff>
    </xdr:to>
    <xdr:sp macro="" textlink="">
      <xdr:nvSpPr>
        <xdr:cNvPr id="9" name="Down Ribbon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400175" y="1457323"/>
          <a:ext cx="3771900" cy="619126"/>
        </a:xfrm>
        <a:prstGeom prst="ribb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latin typeface="LMG-Arun" pitchFamily="2" charset="0"/>
            </a:rPr>
            <a:t>   JFpRZ</a:t>
          </a:r>
          <a:endParaRPr lang="en-US" sz="3200"/>
        </a:p>
      </xdr:txBody>
    </xdr:sp>
    <xdr:clientData/>
  </xdr:twoCellAnchor>
  <xdr:twoCellAnchor>
    <xdr:from>
      <xdr:col>6</xdr:col>
      <xdr:colOff>142875</xdr:colOff>
      <xdr:row>8</xdr:row>
      <xdr:rowOff>9525</xdr:rowOff>
    </xdr:from>
    <xdr:to>
      <xdr:col>6</xdr:col>
      <xdr:colOff>533400</xdr:colOff>
      <xdr:row>8</xdr:row>
      <xdr:rowOff>419100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5648325" y="2114550"/>
          <a:ext cx="390525" cy="342900"/>
        </a:xfrm>
        <a:prstGeom prst="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LMG-Arun" pitchFamily="2" charset="0"/>
            </a:rPr>
            <a:t> &amp;</a:t>
          </a:r>
          <a:endParaRPr lang="en-US" sz="2000"/>
        </a:p>
      </xdr:txBody>
    </xdr:sp>
    <xdr:clientData/>
  </xdr:twoCellAnchor>
  <xdr:twoCellAnchor>
    <xdr:from>
      <xdr:col>11</xdr:col>
      <xdr:colOff>57149</xdr:colOff>
      <xdr:row>25</xdr:row>
      <xdr:rowOff>0</xdr:rowOff>
    </xdr:from>
    <xdr:to>
      <xdr:col>21</xdr:col>
      <xdr:colOff>447674</xdr:colOff>
      <xdr:row>25</xdr:row>
      <xdr:rowOff>114299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7591424" y="9582149"/>
          <a:ext cx="6486525" cy="11334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LMG-Arun" pitchFamily="2" charset="0"/>
            </a:rPr>
            <a:t>            p5ZMÉ lA, D]HAGM BR" D]bI lXÙS §FZF 5NZGM SZJFDF\ VFJ[, CTM T[ D]PlX §FZF R[SG\AZ vo (* YL ~P $#__ 5ZT ,LWFP</a:t>
          </a:r>
          <a:endParaRPr lang="en-US" sz="1400"/>
        </a:p>
      </xdr:txBody>
    </xdr:sp>
    <xdr:clientData/>
  </xdr:twoCellAnchor>
  <xdr:twoCellAnchor>
    <xdr:from>
      <xdr:col>1</xdr:col>
      <xdr:colOff>38100</xdr:colOff>
      <xdr:row>11</xdr:row>
      <xdr:rowOff>85725</xdr:rowOff>
    </xdr:from>
    <xdr:to>
      <xdr:col>4</xdr:col>
      <xdr:colOff>1743075</xdr:colOff>
      <xdr:row>12</xdr:row>
      <xdr:rowOff>314325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85725" y="2895600"/>
          <a:ext cx="3543300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0000FF"/>
              </a:solidFill>
              <a:latin typeface="LMG-Arun" pitchFamily="2" charset="0"/>
            </a:rPr>
            <a:t>pWFZ AH[8 C[0 </a:t>
          </a:r>
          <a:r>
            <a:rPr lang="en-US" sz="1400">
              <a:latin typeface="LMG-Arun" pitchFamily="2" charset="0"/>
            </a:rPr>
            <a:t>vo</a:t>
          </a:r>
          <a:r>
            <a:rPr lang="en-US" sz="1400" baseline="0">
              <a:latin typeface="LMG-Arun" pitchFamily="2" charset="0"/>
            </a:rPr>
            <a:t>   AF/D[/M</a:t>
          </a:r>
          <a:endParaRPr lang="en-US" sz="1800">
            <a:latin typeface="LMG-Arun" pitchFamily="2" charset="0"/>
          </a:endParaRPr>
        </a:p>
      </xdr:txBody>
    </xdr:sp>
    <xdr:clientData/>
  </xdr:twoCellAnchor>
  <xdr:twoCellAnchor>
    <xdr:from>
      <xdr:col>1</xdr:col>
      <xdr:colOff>200024</xdr:colOff>
      <xdr:row>27</xdr:row>
      <xdr:rowOff>9525</xdr:rowOff>
    </xdr:from>
    <xdr:to>
      <xdr:col>7</xdr:col>
      <xdr:colOff>390524</xdr:colOff>
      <xdr:row>30</xdr:row>
      <xdr:rowOff>38101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247649" y="19145250"/>
          <a:ext cx="6486525" cy="6000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LMG-Arun" pitchFamily="2" charset="0"/>
            </a:rPr>
            <a:t>            p5ZMÉ lA, D]HAGM BR" D]bI lXÙS §FZF 5NZGM SZJFDF\ VFJ[, CTM T[ D]PlX §FZF R[SG\AZ vo !_! YL ~P #Z( 5ZT ,LWFP</a:t>
          </a:r>
          <a:endParaRPr lang="en-US" sz="1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2</xdr:row>
      <xdr:rowOff>66675</xdr:rowOff>
    </xdr:from>
    <xdr:to>
      <xdr:col>5</xdr:col>
      <xdr:colOff>904875</xdr:colOff>
      <xdr:row>4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47900" y="638175"/>
          <a:ext cx="2352675" cy="6762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</xdr:col>
      <xdr:colOff>504825</xdr:colOff>
      <xdr:row>5</xdr:row>
      <xdr:rowOff>85723</xdr:rowOff>
    </xdr:from>
    <xdr:to>
      <xdr:col>5</xdr:col>
      <xdr:colOff>1476375</xdr:colOff>
      <xdr:row>7</xdr:row>
      <xdr:rowOff>171449</xdr:rowOff>
    </xdr:to>
    <xdr:sp macro="" textlink="">
      <xdr:nvSpPr>
        <xdr:cNvPr id="3" name="Down Ribbo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400175" y="1457323"/>
          <a:ext cx="3771900" cy="619126"/>
        </a:xfrm>
        <a:prstGeom prst="ribb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latin typeface="LMG-Arun" pitchFamily="2" charset="0"/>
            </a:rPr>
            <a:t>   JFpRZ</a:t>
          </a:r>
          <a:endParaRPr lang="en-US" sz="3200"/>
        </a:p>
      </xdr:txBody>
    </xdr:sp>
    <xdr:clientData/>
  </xdr:twoCellAnchor>
  <xdr:twoCellAnchor>
    <xdr:from>
      <xdr:col>6</xdr:col>
      <xdr:colOff>142875</xdr:colOff>
      <xdr:row>8</xdr:row>
      <xdr:rowOff>9525</xdr:rowOff>
    </xdr:from>
    <xdr:to>
      <xdr:col>6</xdr:col>
      <xdr:colOff>685800</xdr:colOff>
      <xdr:row>9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648325" y="2114550"/>
          <a:ext cx="542925" cy="342900"/>
        </a:xfrm>
        <a:prstGeom prst="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LMG-Arun" pitchFamily="2" charset="0"/>
            </a:rPr>
            <a:t> #</a:t>
          </a:r>
          <a:endParaRPr lang="en-US" sz="2000"/>
        </a:p>
      </xdr:txBody>
    </xdr:sp>
    <xdr:clientData/>
  </xdr:twoCellAnchor>
  <xdr:twoCellAnchor>
    <xdr:from>
      <xdr:col>1</xdr:col>
      <xdr:colOff>9525</xdr:colOff>
      <xdr:row>10</xdr:row>
      <xdr:rowOff>0</xdr:rowOff>
    </xdr:from>
    <xdr:to>
      <xdr:col>4</xdr:col>
      <xdr:colOff>1790700</xdr:colOff>
      <xdr:row>12</xdr:row>
      <xdr:rowOff>361951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7150" y="2809875"/>
          <a:ext cx="3619500" cy="561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0000FF"/>
              </a:solidFill>
              <a:latin typeface="LMG-Arun" pitchFamily="2" charset="0"/>
            </a:rPr>
            <a:t>pWFZ AH[8 C[0 </a:t>
          </a:r>
          <a:r>
            <a:rPr lang="en-US" sz="1400">
              <a:latin typeface="LMG-Arun" pitchFamily="2" charset="0"/>
            </a:rPr>
            <a:t>vo XF/F :JrKTF D8ZLI&lt;; VG[ ;OF&gt;SFD </a:t>
          </a:r>
          <a:endParaRPr lang="en-US" sz="1800">
            <a:latin typeface="LMG-Arun" pitchFamily="2" charset="0"/>
          </a:endParaRPr>
        </a:p>
      </xdr:txBody>
    </xdr:sp>
    <xdr:clientData/>
  </xdr:twoCellAnchor>
  <xdr:twoCellAnchor>
    <xdr:from>
      <xdr:col>1</xdr:col>
      <xdr:colOff>200024</xdr:colOff>
      <xdr:row>32</xdr:row>
      <xdr:rowOff>19050</xdr:rowOff>
    </xdr:from>
    <xdr:to>
      <xdr:col>7</xdr:col>
      <xdr:colOff>390524</xdr:colOff>
      <xdr:row>35</xdr:row>
      <xdr:rowOff>47626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247649" y="9725025"/>
          <a:ext cx="6486525" cy="6000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LMG-Arun" pitchFamily="2" charset="0"/>
            </a:rPr>
            <a:t>            p5ZMÉ lA, D]HAGM BR" D]bI lXÙS §FZF 5NZGM SZJFDF\ VFJ[, CTM T[ D]PlX §FZF R[SG\AZ vo&amp;( YL ~P 5$__ 5ZT ,LWFP</a:t>
          </a:r>
          <a:endParaRPr lang="en-US" sz="1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2</xdr:row>
      <xdr:rowOff>76200</xdr:rowOff>
    </xdr:from>
    <xdr:to>
      <xdr:col>5</xdr:col>
      <xdr:colOff>914400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57425" y="647700"/>
          <a:ext cx="2352675" cy="7524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</xdr:col>
      <xdr:colOff>504825</xdr:colOff>
      <xdr:row>5</xdr:row>
      <xdr:rowOff>85723</xdr:rowOff>
    </xdr:from>
    <xdr:to>
      <xdr:col>5</xdr:col>
      <xdr:colOff>1476375</xdr:colOff>
      <xdr:row>7</xdr:row>
      <xdr:rowOff>171449</xdr:rowOff>
    </xdr:to>
    <xdr:sp macro="" textlink="">
      <xdr:nvSpPr>
        <xdr:cNvPr id="3" name="Down Ribbo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400175" y="1457323"/>
          <a:ext cx="3771900" cy="619126"/>
        </a:xfrm>
        <a:prstGeom prst="ribb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latin typeface="LMG-Arun" pitchFamily="2" charset="0"/>
            </a:rPr>
            <a:t>   JFpRZ</a:t>
          </a:r>
          <a:endParaRPr lang="en-US" sz="3200"/>
        </a:p>
      </xdr:txBody>
    </xdr:sp>
    <xdr:clientData/>
  </xdr:twoCellAnchor>
  <xdr:twoCellAnchor>
    <xdr:from>
      <xdr:col>6</xdr:col>
      <xdr:colOff>142875</xdr:colOff>
      <xdr:row>8</xdr:row>
      <xdr:rowOff>9525</xdr:rowOff>
    </xdr:from>
    <xdr:to>
      <xdr:col>6</xdr:col>
      <xdr:colOff>533400</xdr:colOff>
      <xdr:row>8</xdr:row>
      <xdr:rowOff>419100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5648325" y="2114550"/>
          <a:ext cx="390525" cy="342900"/>
        </a:xfrm>
        <a:prstGeom prst="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LMG-Arun" pitchFamily="2" charset="0"/>
            </a:rPr>
            <a:t> !</a:t>
          </a:r>
          <a:endParaRPr lang="en-US" sz="2000"/>
        </a:p>
      </xdr:txBody>
    </xdr:sp>
    <xdr:clientData/>
  </xdr:twoCellAnchor>
  <xdr:twoCellAnchor>
    <xdr:from>
      <xdr:col>1</xdr:col>
      <xdr:colOff>9525</xdr:colOff>
      <xdr:row>10</xdr:row>
      <xdr:rowOff>0</xdr:rowOff>
    </xdr:from>
    <xdr:to>
      <xdr:col>4</xdr:col>
      <xdr:colOff>1790700</xdr:colOff>
      <xdr:row>12</xdr:row>
      <xdr:rowOff>361951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57150" y="2809875"/>
          <a:ext cx="3619500" cy="561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0000FF"/>
              </a:solidFill>
              <a:latin typeface="LMG-Arun" pitchFamily="2" charset="0"/>
            </a:rPr>
            <a:t>pWFZ AH[8 C[0 </a:t>
          </a:r>
          <a:r>
            <a:rPr lang="en-US" sz="1400">
              <a:latin typeface="LMG-Arun" pitchFamily="2" charset="0"/>
            </a:rPr>
            <a:t>vo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LMG-Arun" pitchFamily="2" charset="0"/>
              <a:ea typeface="+mn-ea"/>
              <a:cs typeface="+mn-cs"/>
            </a:rPr>
            <a:t>XF/F :JrKTF D8ZLI&lt;; VG[ ;OF&gt;SFD DH}ZL</a:t>
          </a:r>
          <a:endParaRPr lang="en-US" sz="1800" b="0">
            <a:latin typeface="LMG-Arun" pitchFamily="2" charset="0"/>
          </a:endParaRPr>
        </a:p>
      </xdr:txBody>
    </xdr:sp>
    <xdr:clientData/>
  </xdr:twoCellAnchor>
  <xdr:twoCellAnchor>
    <xdr:from>
      <xdr:col>1</xdr:col>
      <xdr:colOff>200024</xdr:colOff>
      <xdr:row>29</xdr:row>
      <xdr:rowOff>19050</xdr:rowOff>
    </xdr:from>
    <xdr:to>
      <xdr:col>7</xdr:col>
      <xdr:colOff>390524</xdr:colOff>
      <xdr:row>32</xdr:row>
      <xdr:rowOff>47626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247649" y="10086975"/>
          <a:ext cx="6486525" cy="6000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LMG-Arun" pitchFamily="2" charset="0"/>
            </a:rPr>
            <a:t>            p5ZMÉ lA, D]HAGM BR" D]bI lXÙS §FZF 5NZGM SZJFDF\ VFJ[, CTM T[ D]PlX §FZF R[SG\AZ vo () YL ~P !___ 5ZT ,LWFP</a:t>
          </a:r>
          <a:endParaRPr lang="en-US" sz="14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2</xdr:row>
      <xdr:rowOff>76200</xdr:rowOff>
    </xdr:from>
    <xdr:to>
      <xdr:col>5</xdr:col>
      <xdr:colOff>914400</xdr:colOff>
      <xdr:row>4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57425" y="647700"/>
          <a:ext cx="2352675" cy="7143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</xdr:col>
      <xdr:colOff>504825</xdr:colOff>
      <xdr:row>5</xdr:row>
      <xdr:rowOff>85723</xdr:rowOff>
    </xdr:from>
    <xdr:to>
      <xdr:col>5</xdr:col>
      <xdr:colOff>1476375</xdr:colOff>
      <xdr:row>7</xdr:row>
      <xdr:rowOff>171449</xdr:rowOff>
    </xdr:to>
    <xdr:sp macro="" textlink="">
      <xdr:nvSpPr>
        <xdr:cNvPr id="3" name="Down Ribbo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400175" y="1457323"/>
          <a:ext cx="3771900" cy="619126"/>
        </a:xfrm>
        <a:prstGeom prst="ribb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latin typeface="LMG-Arun" pitchFamily="2" charset="0"/>
            </a:rPr>
            <a:t>   JFpRZ</a:t>
          </a:r>
          <a:endParaRPr lang="en-US" sz="3200"/>
        </a:p>
      </xdr:txBody>
    </xdr:sp>
    <xdr:clientData/>
  </xdr:twoCellAnchor>
  <xdr:twoCellAnchor>
    <xdr:from>
      <xdr:col>6</xdr:col>
      <xdr:colOff>142875</xdr:colOff>
      <xdr:row>8</xdr:row>
      <xdr:rowOff>9525</xdr:rowOff>
    </xdr:from>
    <xdr:to>
      <xdr:col>6</xdr:col>
      <xdr:colOff>533400</xdr:colOff>
      <xdr:row>8</xdr:row>
      <xdr:rowOff>419100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5648325" y="2114550"/>
          <a:ext cx="390525" cy="342900"/>
        </a:xfrm>
        <a:prstGeom prst="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LMG-Arun" pitchFamily="2" charset="0"/>
            </a:rPr>
            <a:t> Z</a:t>
          </a:r>
          <a:endParaRPr lang="en-US" sz="2000"/>
        </a:p>
      </xdr:txBody>
    </xdr:sp>
    <xdr:clientData/>
  </xdr:twoCellAnchor>
  <xdr:twoCellAnchor>
    <xdr:from>
      <xdr:col>1</xdr:col>
      <xdr:colOff>9525</xdr:colOff>
      <xdr:row>10</xdr:row>
      <xdr:rowOff>0</xdr:rowOff>
    </xdr:from>
    <xdr:to>
      <xdr:col>4</xdr:col>
      <xdr:colOff>1790700</xdr:colOff>
      <xdr:row>12</xdr:row>
      <xdr:rowOff>361951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57150" y="2809875"/>
          <a:ext cx="3619500" cy="561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0000FF"/>
              </a:solidFill>
              <a:latin typeface="LMG-Arun" pitchFamily="2" charset="0"/>
            </a:rPr>
            <a:t>pWFZ AH[8 C[0 </a:t>
          </a:r>
          <a:r>
            <a:rPr lang="en-US" sz="1400">
              <a:latin typeface="LMG-Arun" pitchFamily="2" charset="0"/>
            </a:rPr>
            <a:t>vo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LMG-Arun" pitchFamily="2" charset="0"/>
              <a:ea typeface="+mn-ea"/>
              <a:cs typeface="+mn-cs"/>
            </a:rPr>
            <a:t>XF/F :JrKTF D8ZLI&lt;; VG[ ;OF&gt;SFD DH}ZL4 5|J[XMt;J</a:t>
          </a:r>
          <a:endParaRPr lang="en-US" sz="1800" b="0">
            <a:latin typeface="LMG-Arun" pitchFamily="2" charset="0"/>
          </a:endParaRPr>
        </a:p>
      </xdr:txBody>
    </xdr:sp>
    <xdr:clientData/>
  </xdr:twoCellAnchor>
  <xdr:twoCellAnchor>
    <xdr:from>
      <xdr:col>1</xdr:col>
      <xdr:colOff>200024</xdr:colOff>
      <xdr:row>29</xdr:row>
      <xdr:rowOff>19050</xdr:rowOff>
    </xdr:from>
    <xdr:to>
      <xdr:col>7</xdr:col>
      <xdr:colOff>390524</xdr:colOff>
      <xdr:row>32</xdr:row>
      <xdr:rowOff>47626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47649" y="9020175"/>
          <a:ext cx="6486525" cy="6000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LMG-Arun" pitchFamily="2" charset="0"/>
            </a:rPr>
            <a:t>            p5ZMÉ lA, D]HAGM BR" D]bI lXÙS §FZF 5NZGM SZJFDF\ VFJ[, CTM T[ D]PlX §FZF R[SG\AZ vo )_ YL ~P $#__ 5ZT ,LWFP</a:t>
          </a:r>
          <a:endParaRPr lang="en-US" sz="14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2</xdr:row>
      <xdr:rowOff>133350</xdr:rowOff>
    </xdr:from>
    <xdr:to>
      <xdr:col>5</xdr:col>
      <xdr:colOff>885825</xdr:colOff>
      <xdr:row>4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28850" y="704850"/>
          <a:ext cx="2352675" cy="65722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</xdr:col>
      <xdr:colOff>504825</xdr:colOff>
      <xdr:row>5</xdr:row>
      <xdr:rowOff>85723</xdr:rowOff>
    </xdr:from>
    <xdr:to>
      <xdr:col>5</xdr:col>
      <xdr:colOff>1476375</xdr:colOff>
      <xdr:row>7</xdr:row>
      <xdr:rowOff>171449</xdr:rowOff>
    </xdr:to>
    <xdr:sp macro="" textlink="">
      <xdr:nvSpPr>
        <xdr:cNvPr id="3" name="Down Ribbo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400175" y="1457323"/>
          <a:ext cx="3771900" cy="619126"/>
        </a:xfrm>
        <a:prstGeom prst="ribb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latin typeface="LMG-Arun" pitchFamily="2" charset="0"/>
            </a:rPr>
            <a:t>   JFpRZ</a:t>
          </a:r>
          <a:endParaRPr lang="en-US" sz="3200"/>
        </a:p>
      </xdr:txBody>
    </xdr:sp>
    <xdr:clientData/>
  </xdr:twoCellAnchor>
  <xdr:twoCellAnchor>
    <xdr:from>
      <xdr:col>6</xdr:col>
      <xdr:colOff>142875</xdr:colOff>
      <xdr:row>8</xdr:row>
      <xdr:rowOff>9525</xdr:rowOff>
    </xdr:from>
    <xdr:to>
      <xdr:col>6</xdr:col>
      <xdr:colOff>533400</xdr:colOff>
      <xdr:row>8</xdr:row>
      <xdr:rowOff>419100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648325" y="2114550"/>
          <a:ext cx="390525" cy="342900"/>
        </a:xfrm>
        <a:prstGeom prst="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LMG-Arun" pitchFamily="2" charset="0"/>
            </a:rPr>
            <a:t> (</a:t>
          </a:r>
          <a:endParaRPr lang="en-US" sz="2000"/>
        </a:p>
      </xdr:txBody>
    </xdr:sp>
    <xdr:clientData/>
  </xdr:twoCellAnchor>
  <xdr:twoCellAnchor>
    <xdr:from>
      <xdr:col>1</xdr:col>
      <xdr:colOff>95249</xdr:colOff>
      <xdr:row>29</xdr:row>
      <xdr:rowOff>57150</xdr:rowOff>
    </xdr:from>
    <xdr:to>
      <xdr:col>7</xdr:col>
      <xdr:colOff>285749</xdr:colOff>
      <xdr:row>32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42874" y="9163050"/>
          <a:ext cx="6486525" cy="666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LMG-Arun" pitchFamily="2" charset="0"/>
            </a:rPr>
            <a:t>            p5ZMÉ lA, D]HAGM BR" D]bI lXÙS §FZF 5NZGM SZJFDF\ VFJ[, CTM T[ D]PlX §FZF R[SG\AZ vo !_) YL ~P 5__ 5ZT ,LWFP</a:t>
          </a:r>
          <a:endParaRPr lang="en-US" sz="1400"/>
        </a:p>
      </xdr:txBody>
    </xdr:sp>
    <xdr:clientData/>
  </xdr:twoCellAnchor>
  <xdr:twoCellAnchor>
    <xdr:from>
      <xdr:col>1</xdr:col>
      <xdr:colOff>9525</xdr:colOff>
      <xdr:row>10</xdr:row>
      <xdr:rowOff>0</xdr:rowOff>
    </xdr:from>
    <xdr:to>
      <xdr:col>4</xdr:col>
      <xdr:colOff>1790700</xdr:colOff>
      <xdr:row>12</xdr:row>
      <xdr:rowOff>361951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57150" y="2809875"/>
          <a:ext cx="3619500" cy="561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0000FF"/>
              </a:solidFill>
              <a:latin typeface="LMG-Arun" pitchFamily="2" charset="0"/>
            </a:rPr>
            <a:t>pWFZ AH[8 C[0 </a:t>
          </a:r>
          <a:r>
            <a:rPr lang="en-US" sz="1400">
              <a:latin typeface="LMG-Arun" pitchFamily="2" charset="0"/>
            </a:rPr>
            <a:t>vo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LMG-Arun" pitchFamily="2" charset="0"/>
              <a:ea typeface="+mn-ea"/>
              <a:cs typeface="+mn-cs"/>
            </a:rPr>
            <a:t>4 JF,L;\D[,G ;ZEZF BR"</a:t>
          </a:r>
          <a:endParaRPr lang="en-US" sz="1800">
            <a:latin typeface="LMG-Arun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R29"/>
  <sheetViews>
    <sheetView topLeftCell="A11" workbookViewId="0">
      <selection activeCell="I22" sqref="I22"/>
    </sheetView>
  </sheetViews>
  <sheetFormatPr defaultRowHeight="15"/>
  <cols>
    <col min="1" max="1" width="0.7109375" style="8" customWidth="1"/>
    <col min="2" max="2" width="5.28515625" style="8" customWidth="1"/>
    <col min="3" max="3" width="24.42578125" style="8" customWidth="1"/>
    <col min="4" max="7" width="10.85546875" style="8" customWidth="1"/>
    <col min="8" max="8" width="7.140625" style="8" customWidth="1"/>
    <col min="9" max="10" width="10.85546875" style="8" customWidth="1"/>
    <col min="11" max="11" width="4.42578125" style="8" hidden="1" customWidth="1"/>
    <col min="12" max="12" width="1.140625" style="8" customWidth="1"/>
    <col min="13" max="16384" width="9.140625" style="8"/>
  </cols>
  <sheetData>
    <row r="1" spans="1:12" ht="10.5" customHeight="1" thickBot="1">
      <c r="A1" s="296"/>
      <c r="B1" s="296"/>
      <c r="C1" s="296"/>
      <c r="D1" s="296"/>
      <c r="E1" s="296"/>
      <c r="F1" s="296"/>
      <c r="G1" s="296"/>
      <c r="H1" s="296"/>
      <c r="I1" s="296"/>
      <c r="J1" s="296"/>
    </row>
    <row r="2" spans="1:12" ht="30.75" customHeight="1" thickBot="1">
      <c r="A2" s="296"/>
      <c r="B2" s="300" t="s">
        <v>0</v>
      </c>
      <c r="C2" s="301"/>
      <c r="D2" s="302" t="s">
        <v>112</v>
      </c>
      <c r="E2" s="302"/>
      <c r="F2" s="303"/>
      <c r="G2" s="304" t="s">
        <v>13</v>
      </c>
      <c r="H2" s="305"/>
      <c r="I2" s="306">
        <v>24160204406</v>
      </c>
      <c r="J2" s="307"/>
      <c r="K2" s="9"/>
      <c r="L2" s="9"/>
    </row>
    <row r="3" spans="1:12" ht="4.5" customHeight="1" thickBot="1">
      <c r="A3" s="296"/>
      <c r="B3" s="10"/>
      <c r="C3" s="10"/>
      <c r="D3" s="10"/>
      <c r="E3" s="10"/>
      <c r="F3" s="10"/>
      <c r="G3" s="10"/>
      <c r="H3" s="10"/>
      <c r="I3" s="10"/>
      <c r="J3" s="10"/>
    </row>
    <row r="4" spans="1:12" ht="30.75" customHeight="1" thickBot="1">
      <c r="A4" s="296"/>
      <c r="B4" s="308" t="s">
        <v>12</v>
      </c>
      <c r="C4" s="309"/>
      <c r="D4" s="310" t="s">
        <v>113</v>
      </c>
      <c r="E4" s="310"/>
      <c r="F4" s="311"/>
      <c r="G4" s="312" t="s">
        <v>14</v>
      </c>
      <c r="H4" s="313"/>
      <c r="I4" s="314" t="s">
        <v>15</v>
      </c>
      <c r="J4" s="315"/>
    </row>
    <row r="5" spans="1:12" ht="6.75" customHeight="1">
      <c r="A5" s="296"/>
      <c r="B5" s="11"/>
      <c r="C5" s="11"/>
      <c r="D5" s="11"/>
      <c r="E5" s="11"/>
      <c r="F5" s="11"/>
      <c r="G5" s="11"/>
      <c r="H5" s="11"/>
      <c r="I5" s="11"/>
      <c r="J5" s="11"/>
    </row>
    <row r="6" spans="1:12" ht="30.75" customHeight="1">
      <c r="A6" s="296"/>
      <c r="B6" s="11"/>
      <c r="C6" s="11"/>
      <c r="D6" s="11"/>
      <c r="E6" s="11"/>
      <c r="F6" s="11"/>
      <c r="G6" s="316" t="s">
        <v>16</v>
      </c>
      <c r="H6" s="316"/>
      <c r="I6" s="317" t="s">
        <v>17</v>
      </c>
      <c r="J6" s="317"/>
    </row>
    <row r="7" spans="1:12" ht="10.5" customHeight="1">
      <c r="A7" s="296"/>
    </row>
    <row r="8" spans="1:12" ht="73.5" customHeight="1">
      <c r="A8" s="296"/>
      <c r="B8" s="296"/>
      <c r="C8" s="296"/>
      <c r="D8" s="296"/>
      <c r="E8" s="296"/>
      <c r="F8" s="296"/>
      <c r="G8" s="296"/>
      <c r="H8" s="296"/>
      <c r="I8" s="296"/>
      <c r="J8" s="296"/>
    </row>
    <row r="9" spans="1:12" ht="119.25" customHeight="1">
      <c r="A9" s="296"/>
    </row>
    <row r="10" spans="1:12" ht="15" hidden="1" customHeight="1">
      <c r="A10" s="296"/>
    </row>
    <row r="11" spans="1:12" ht="3" customHeight="1">
      <c r="A11" s="296"/>
    </row>
    <row r="12" spans="1:12" ht="32.25" customHeight="1">
      <c r="A12" s="296"/>
      <c r="B12" s="297" t="s">
        <v>2</v>
      </c>
      <c r="C12" s="298"/>
      <c r="D12" s="298"/>
      <c r="G12" s="299" t="s">
        <v>1</v>
      </c>
      <c r="H12" s="299"/>
      <c r="I12" s="299"/>
      <c r="J12" s="9"/>
      <c r="K12" s="9"/>
      <c r="L12" s="9"/>
    </row>
    <row r="13" spans="1:12" ht="5.25" customHeight="1">
      <c r="A13" s="296"/>
    </row>
    <row r="14" spans="1:12" ht="72" customHeight="1">
      <c r="A14" s="296"/>
      <c r="B14" s="12" t="s">
        <v>3</v>
      </c>
      <c r="C14" s="12" t="s">
        <v>4</v>
      </c>
      <c r="D14" s="13" t="s">
        <v>5</v>
      </c>
      <c r="E14" s="13" t="s">
        <v>10</v>
      </c>
      <c r="F14" s="12" t="s">
        <v>6</v>
      </c>
      <c r="G14" s="13" t="s">
        <v>7</v>
      </c>
      <c r="H14" s="13" t="s">
        <v>8</v>
      </c>
      <c r="I14" s="13" t="s">
        <v>9</v>
      </c>
      <c r="J14" s="14" t="s">
        <v>124</v>
      </c>
    </row>
    <row r="15" spans="1:12">
      <c r="A15" s="296"/>
      <c r="B15" s="15"/>
      <c r="C15" s="15"/>
      <c r="D15" s="15"/>
      <c r="E15" s="15"/>
      <c r="F15" s="15"/>
      <c r="G15" s="15"/>
      <c r="H15" s="15"/>
      <c r="I15" s="15"/>
      <c r="J15" s="15"/>
    </row>
    <row r="16" spans="1:12" ht="20.25">
      <c r="A16" s="296"/>
      <c r="B16" s="16">
        <v>1</v>
      </c>
      <c r="C16" s="125" t="s">
        <v>96</v>
      </c>
      <c r="D16" s="7">
        <v>0</v>
      </c>
      <c r="E16" s="7">
        <v>11000</v>
      </c>
      <c r="F16" s="6">
        <f>E16</f>
        <v>11000</v>
      </c>
      <c r="G16" s="7">
        <v>11000</v>
      </c>
      <c r="H16" s="7">
        <v>0</v>
      </c>
      <c r="I16" s="6">
        <f>G16+H16</f>
        <v>11000</v>
      </c>
      <c r="J16" s="6">
        <f>F16-I16</f>
        <v>0</v>
      </c>
    </row>
    <row r="17" spans="1:18" ht="20.25">
      <c r="A17" s="296"/>
      <c r="B17" s="16">
        <v>2</v>
      </c>
      <c r="C17" s="125" t="s">
        <v>97</v>
      </c>
      <c r="D17" s="7">
        <v>0</v>
      </c>
      <c r="E17" s="7">
        <v>600</v>
      </c>
      <c r="F17" s="6">
        <f>D17+E17</f>
        <v>600</v>
      </c>
      <c r="G17" s="7">
        <v>600</v>
      </c>
      <c r="H17" s="7">
        <v>0</v>
      </c>
      <c r="I17" s="6">
        <f t="shared" ref="I17:I18" si="0">G17+H17</f>
        <v>600</v>
      </c>
      <c r="J17" s="6">
        <f t="shared" ref="J17:J18" si="1">F17-I17</f>
        <v>0</v>
      </c>
      <c r="P17" s="8">
        <v>6000</v>
      </c>
    </row>
    <row r="18" spans="1:18" ht="20.25">
      <c r="A18" s="296"/>
      <c r="B18" s="16">
        <v>3</v>
      </c>
      <c r="C18" s="125" t="s">
        <v>91</v>
      </c>
      <c r="D18" s="7">
        <v>0</v>
      </c>
      <c r="E18" s="7">
        <v>278</v>
      </c>
      <c r="F18" s="6">
        <f t="shared" ref="F18" si="2">D18+E18</f>
        <v>278</v>
      </c>
      <c r="G18" s="7">
        <v>278</v>
      </c>
      <c r="H18" s="7">
        <v>0</v>
      </c>
      <c r="I18" s="6">
        <f t="shared" si="0"/>
        <v>278</v>
      </c>
      <c r="J18" s="6">
        <f t="shared" si="1"/>
        <v>0</v>
      </c>
      <c r="P18" s="8">
        <v>1900</v>
      </c>
    </row>
    <row r="19" spans="1:18" ht="20.25">
      <c r="A19" s="296"/>
      <c r="B19" s="16">
        <v>4</v>
      </c>
      <c r="C19" s="125" t="s">
        <v>98</v>
      </c>
      <c r="D19" s="7">
        <v>6000</v>
      </c>
      <c r="E19" s="7">
        <v>0</v>
      </c>
      <c r="F19" s="6">
        <f t="shared" ref="F19:F23" si="3">D19+E19</f>
        <v>6000</v>
      </c>
      <c r="G19" s="7">
        <v>0</v>
      </c>
      <c r="H19" s="7">
        <v>0</v>
      </c>
      <c r="I19" s="6">
        <f t="shared" ref="I19:I23" si="4">G19+H19</f>
        <v>0</v>
      </c>
      <c r="J19" s="6">
        <f t="shared" ref="J19:J23" si="5">F19-I19</f>
        <v>6000</v>
      </c>
      <c r="P19" s="8">
        <v>1900</v>
      </c>
    </row>
    <row r="20" spans="1:18" ht="20.25">
      <c r="A20" s="296"/>
      <c r="B20" s="16">
        <v>5</v>
      </c>
      <c r="C20" s="125" t="s">
        <v>99</v>
      </c>
      <c r="D20" s="7">
        <v>0</v>
      </c>
      <c r="E20" s="7">
        <v>900</v>
      </c>
      <c r="F20" s="6">
        <f t="shared" si="3"/>
        <v>900</v>
      </c>
      <c r="G20" s="7">
        <v>900</v>
      </c>
      <c r="H20" s="7">
        <v>0</v>
      </c>
      <c r="I20" s="6">
        <f t="shared" si="4"/>
        <v>900</v>
      </c>
      <c r="J20" s="6">
        <f t="shared" si="5"/>
        <v>0</v>
      </c>
      <c r="P20" s="8">
        <v>1900</v>
      </c>
    </row>
    <row r="21" spans="1:18" ht="20.25">
      <c r="A21" s="296"/>
      <c r="B21" s="16">
        <v>6</v>
      </c>
      <c r="C21" s="125" t="s">
        <v>100</v>
      </c>
      <c r="D21" s="7">
        <v>0</v>
      </c>
      <c r="E21" s="7">
        <v>500</v>
      </c>
      <c r="F21" s="6">
        <f t="shared" si="3"/>
        <v>500</v>
      </c>
      <c r="G21" s="7">
        <v>500</v>
      </c>
      <c r="H21" s="7">
        <v>0</v>
      </c>
      <c r="I21" s="6">
        <f t="shared" si="4"/>
        <v>500</v>
      </c>
      <c r="J21" s="6">
        <f t="shared" si="5"/>
        <v>0</v>
      </c>
      <c r="P21" s="8">
        <f>P17+P18+P19+P20</f>
        <v>11700</v>
      </c>
    </row>
    <row r="22" spans="1:18" ht="20.25">
      <c r="A22" s="296"/>
      <c r="B22" s="16">
        <v>7</v>
      </c>
      <c r="C22" s="125" t="s">
        <v>102</v>
      </c>
      <c r="D22" s="7">
        <v>0</v>
      </c>
      <c r="E22" s="7">
        <v>328</v>
      </c>
      <c r="F22" s="6">
        <f t="shared" si="3"/>
        <v>328</v>
      </c>
      <c r="G22" s="7">
        <v>328</v>
      </c>
      <c r="H22" s="7">
        <v>0</v>
      </c>
      <c r="I22" s="6">
        <f t="shared" si="4"/>
        <v>328</v>
      </c>
      <c r="J22" s="6">
        <f t="shared" si="5"/>
        <v>0</v>
      </c>
    </row>
    <row r="23" spans="1:18" ht="20.25">
      <c r="A23" s="296"/>
      <c r="B23" s="16">
        <v>8</v>
      </c>
      <c r="C23" s="125" t="s">
        <v>103</v>
      </c>
      <c r="D23" s="7">
        <v>0</v>
      </c>
      <c r="E23" s="7">
        <v>11786</v>
      </c>
      <c r="F23" s="6">
        <f t="shared" si="3"/>
        <v>11786</v>
      </c>
      <c r="G23" s="7">
        <v>0</v>
      </c>
      <c r="H23" s="7">
        <v>0</v>
      </c>
      <c r="I23" s="6">
        <f t="shared" si="4"/>
        <v>0</v>
      </c>
      <c r="J23" s="6">
        <f t="shared" si="5"/>
        <v>11786</v>
      </c>
      <c r="R23" s="8">
        <v>1651</v>
      </c>
    </row>
    <row r="24" spans="1:18" ht="20.25">
      <c r="A24" s="296"/>
      <c r="B24" s="16">
        <v>9</v>
      </c>
      <c r="C24" s="125" t="s">
        <v>18</v>
      </c>
      <c r="D24" s="7">
        <v>2027</v>
      </c>
      <c r="E24" s="7">
        <v>374</v>
      </c>
      <c r="F24" s="6">
        <f t="shared" ref="F24" si="6">D24+E24</f>
        <v>2401</v>
      </c>
      <c r="G24" s="7">
        <v>0</v>
      </c>
      <c r="H24" s="7">
        <v>0</v>
      </c>
      <c r="I24" s="6">
        <f t="shared" ref="I24" si="7">G24+H24</f>
        <v>0</v>
      </c>
      <c r="J24" s="6">
        <f t="shared" ref="J24" si="8">F24-I24</f>
        <v>2401</v>
      </c>
      <c r="R24" s="8">
        <v>376</v>
      </c>
    </row>
    <row r="25" spans="1:18" ht="18.75">
      <c r="A25" s="296"/>
      <c r="B25" s="17" t="s">
        <v>11</v>
      </c>
      <c r="C25" s="18"/>
      <c r="D25" s="19">
        <f t="shared" ref="D25:J25" si="9">SUM(D16:D24)</f>
        <v>8027</v>
      </c>
      <c r="E25" s="19">
        <f t="shared" si="9"/>
        <v>25766</v>
      </c>
      <c r="F25" s="19">
        <f t="shared" si="9"/>
        <v>33793</v>
      </c>
      <c r="G25" s="19">
        <f t="shared" si="9"/>
        <v>13606</v>
      </c>
      <c r="H25" s="19">
        <f t="shared" si="9"/>
        <v>0</v>
      </c>
      <c r="I25" s="19">
        <f t="shared" si="9"/>
        <v>13606</v>
      </c>
      <c r="J25" s="19">
        <f t="shared" si="9"/>
        <v>20187</v>
      </c>
      <c r="R25" s="8">
        <f>R23+R24</f>
        <v>2027</v>
      </c>
    </row>
    <row r="26" spans="1:18">
      <c r="A26" s="296"/>
    </row>
    <row r="27" spans="1:18">
      <c r="A27" s="296"/>
    </row>
    <row r="28" spans="1:18">
      <c r="A28" s="296"/>
    </row>
    <row r="29" spans="1:18">
      <c r="A29" s="296"/>
    </row>
  </sheetData>
  <mergeCells count="15">
    <mergeCell ref="A1:J1"/>
    <mergeCell ref="A2:A29"/>
    <mergeCell ref="B12:D12"/>
    <mergeCell ref="G12:I12"/>
    <mergeCell ref="B8:J8"/>
    <mergeCell ref="B2:C2"/>
    <mergeCell ref="D2:F2"/>
    <mergeCell ref="G2:H2"/>
    <mergeCell ref="I2:J2"/>
    <mergeCell ref="B4:C4"/>
    <mergeCell ref="D4:F4"/>
    <mergeCell ref="G4:H4"/>
    <mergeCell ref="I4:J4"/>
    <mergeCell ref="G6:H6"/>
    <mergeCell ref="I6:J6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322"/>
  <sheetViews>
    <sheetView topLeftCell="J119" zoomScale="226" zoomScaleNormal="226" workbookViewId="0">
      <selection activeCell="K275" sqref="K275"/>
    </sheetView>
  </sheetViews>
  <sheetFormatPr defaultRowHeight="15"/>
  <cols>
    <col min="1" max="1" width="1" customWidth="1"/>
    <col min="2" max="2" width="11.5703125" customWidth="1"/>
    <col min="3" max="3" width="15" customWidth="1"/>
    <col min="5" max="5" width="8.42578125" customWidth="1"/>
    <col min="6" max="6" width="8.140625" customWidth="1"/>
    <col min="7" max="7" width="8.7109375" customWidth="1"/>
    <col min="8" max="9" width="9.42578125" customWidth="1"/>
    <col min="10" max="10" width="11.42578125" customWidth="1"/>
    <col min="11" max="11" width="21.85546875" customWidth="1"/>
    <col min="12" max="12" width="11.42578125" customWidth="1"/>
    <col min="13" max="13" width="10.28515625" customWidth="1"/>
    <col min="14" max="14" width="8.140625" customWidth="1"/>
    <col min="15" max="15" width="7.7109375" customWidth="1"/>
    <col min="16" max="16" width="9.140625" customWidth="1"/>
  </cols>
  <sheetData>
    <row r="1" spans="1:21" ht="42.6" customHeight="1">
      <c r="A1" s="296">
        <f ca="1">A1:Q20</f>
        <v>0</v>
      </c>
      <c r="B1" s="318" t="s">
        <v>259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</row>
    <row r="2" spans="1:21" ht="43.5" customHeight="1">
      <c r="A2" s="296"/>
      <c r="B2" s="321"/>
      <c r="C2" s="327"/>
      <c r="D2" s="327"/>
      <c r="E2" s="327"/>
      <c r="F2" s="327"/>
      <c r="G2" s="327"/>
      <c r="H2" s="327"/>
      <c r="I2" s="330"/>
      <c r="J2" s="325"/>
      <c r="K2" s="325"/>
      <c r="L2" s="325"/>
      <c r="M2" s="325"/>
      <c r="N2" s="325"/>
      <c r="O2" s="325"/>
      <c r="P2" s="325"/>
      <c r="Q2" s="326"/>
    </row>
    <row r="3" spans="1:21" ht="66" customHeight="1">
      <c r="A3" s="296"/>
      <c r="B3" s="27" t="s">
        <v>19</v>
      </c>
      <c r="C3" s="27" t="s">
        <v>29</v>
      </c>
      <c r="D3" s="28" t="s">
        <v>30</v>
      </c>
      <c r="E3" s="28" t="s">
        <v>31</v>
      </c>
      <c r="F3" s="28" t="s">
        <v>32</v>
      </c>
      <c r="G3" s="27" t="s">
        <v>33</v>
      </c>
      <c r="H3" s="27" t="s">
        <v>34</v>
      </c>
      <c r="I3" s="29" t="s">
        <v>35</v>
      </c>
      <c r="J3" s="30" t="s">
        <v>19</v>
      </c>
      <c r="K3" s="27" t="s">
        <v>69</v>
      </c>
      <c r="L3" s="28" t="s">
        <v>36</v>
      </c>
      <c r="M3" s="28" t="s">
        <v>37</v>
      </c>
      <c r="N3" s="28" t="s">
        <v>32</v>
      </c>
      <c r="O3" s="27" t="s">
        <v>33</v>
      </c>
      <c r="P3" s="27" t="s">
        <v>34</v>
      </c>
      <c r="Q3" s="27" t="s">
        <v>35</v>
      </c>
    </row>
    <row r="4" spans="1:21" ht="45" customHeight="1">
      <c r="A4" s="296"/>
      <c r="B4" s="31">
        <v>45295</v>
      </c>
      <c r="C4" s="25" t="s">
        <v>26</v>
      </c>
      <c r="D4" s="32"/>
      <c r="E4" s="32"/>
      <c r="F4" s="32"/>
      <c r="G4" s="33">
        <v>0</v>
      </c>
      <c r="H4" s="33">
        <v>1193</v>
      </c>
      <c r="I4" s="34">
        <f>G4+H4</f>
        <v>1193</v>
      </c>
      <c r="J4" s="35">
        <f>B4</f>
        <v>45295</v>
      </c>
      <c r="K4" s="36" t="s">
        <v>38</v>
      </c>
      <c r="L4" s="32"/>
      <c r="M4" s="32"/>
      <c r="N4" s="32"/>
      <c r="O4" s="33">
        <v>0</v>
      </c>
      <c r="P4" s="33">
        <v>0</v>
      </c>
      <c r="Q4" s="33">
        <v>0</v>
      </c>
    </row>
    <row r="5" spans="1:21" ht="17.100000000000001" customHeight="1">
      <c r="A5" s="296"/>
      <c r="B5" s="37"/>
      <c r="C5" s="32"/>
      <c r="D5" s="32"/>
      <c r="E5" s="32"/>
      <c r="F5" s="32"/>
      <c r="G5" s="33"/>
      <c r="H5" s="33"/>
      <c r="I5" s="34"/>
      <c r="J5" s="38"/>
      <c r="K5" s="32"/>
      <c r="L5" s="32"/>
      <c r="M5" s="32"/>
      <c r="N5" s="32"/>
      <c r="O5" s="39"/>
      <c r="P5" s="39"/>
      <c r="Q5" s="39"/>
    </row>
    <row r="6" spans="1:21" ht="17.100000000000001" customHeight="1">
      <c r="A6" s="296"/>
      <c r="B6" s="37"/>
      <c r="C6" s="44"/>
      <c r="D6" s="44"/>
      <c r="E6" s="44"/>
      <c r="F6" s="44"/>
      <c r="G6" s="44"/>
      <c r="H6" s="46"/>
      <c r="I6" s="219"/>
      <c r="J6" s="42"/>
      <c r="K6" s="43"/>
      <c r="L6" s="44"/>
      <c r="M6" s="44"/>
      <c r="N6" s="44"/>
      <c r="O6" s="33"/>
      <c r="P6" s="32"/>
      <c r="Q6" s="39"/>
      <c r="T6">
        <v>2763</v>
      </c>
      <c r="U6">
        <v>178</v>
      </c>
    </row>
    <row r="7" spans="1:21" ht="17.100000000000001" customHeight="1">
      <c r="A7" s="296"/>
      <c r="B7" s="37"/>
      <c r="C7" s="44"/>
      <c r="D7" s="44"/>
      <c r="E7" s="44"/>
      <c r="F7" s="44"/>
      <c r="G7" s="44"/>
      <c r="H7" s="46"/>
      <c r="I7" s="47"/>
      <c r="J7" s="42"/>
      <c r="K7" s="48"/>
      <c r="L7" s="44"/>
      <c r="M7" s="44"/>
      <c r="N7" s="44"/>
      <c r="O7" s="33"/>
      <c r="P7" s="32"/>
      <c r="Q7" s="39"/>
      <c r="U7">
        <f>T6-U6</f>
        <v>2585</v>
      </c>
    </row>
    <row r="8" spans="1:21" ht="17.100000000000001" customHeight="1">
      <c r="A8" s="296"/>
      <c r="B8" s="37"/>
      <c r="C8" s="48"/>
      <c r="D8" s="44"/>
      <c r="E8" s="44"/>
      <c r="F8" s="44"/>
      <c r="G8" s="46"/>
      <c r="H8" s="46"/>
      <c r="I8" s="47"/>
      <c r="J8" s="42"/>
      <c r="K8" s="48"/>
      <c r="L8" s="44"/>
      <c r="M8" s="44"/>
      <c r="N8" s="44"/>
      <c r="O8" s="33"/>
      <c r="P8" s="32"/>
      <c r="Q8" s="39"/>
    </row>
    <row r="9" spans="1:21" ht="20.100000000000001" customHeight="1">
      <c r="A9" s="296"/>
      <c r="B9" s="37"/>
      <c r="C9" s="32"/>
      <c r="D9" s="32"/>
      <c r="E9" s="32"/>
      <c r="F9" s="32"/>
      <c r="G9" s="33"/>
      <c r="H9" s="33"/>
      <c r="I9" s="34"/>
      <c r="J9" s="38"/>
      <c r="K9" s="49" t="s">
        <v>70</v>
      </c>
      <c r="L9" s="50"/>
      <c r="M9" s="50"/>
      <c r="N9" s="50"/>
      <c r="O9" s="232">
        <f>SUM(O4:O8)</f>
        <v>0</v>
      </c>
      <c r="P9" s="232">
        <f>O9</f>
        <v>0</v>
      </c>
      <c r="Q9" s="232">
        <f>O9+P9</f>
        <v>0</v>
      </c>
    </row>
    <row r="10" spans="1:21" ht="20.100000000000001" customHeight="1">
      <c r="A10" s="296"/>
      <c r="B10" s="37"/>
      <c r="C10" s="32"/>
      <c r="D10" s="32"/>
      <c r="E10" s="32"/>
      <c r="F10" s="32"/>
      <c r="G10" s="233">
        <f>SUM(G4:G9)</f>
        <v>0</v>
      </c>
      <c r="H10" s="233">
        <f>SUM(H4:H9)</f>
        <v>1193</v>
      </c>
      <c r="I10" s="239">
        <f>SUM(I4:I9)</f>
        <v>1193</v>
      </c>
      <c r="J10" s="38"/>
      <c r="K10" s="49" t="s">
        <v>39</v>
      </c>
      <c r="L10" s="50"/>
      <c r="M10" s="50"/>
      <c r="N10" s="50"/>
      <c r="O10" s="233">
        <v>0</v>
      </c>
      <c r="P10" s="233">
        <f>I4+I6-I8</f>
        <v>1193</v>
      </c>
      <c r="Q10" s="233">
        <f>I10-Q9</f>
        <v>1193</v>
      </c>
    </row>
    <row r="11" spans="1:21" ht="20.100000000000001" customHeight="1">
      <c r="A11" s="296"/>
      <c r="B11" s="52"/>
      <c r="C11" s="53"/>
      <c r="D11" s="53"/>
      <c r="E11" s="53"/>
      <c r="F11" s="53"/>
      <c r="G11" s="53"/>
      <c r="H11" s="53"/>
      <c r="I11" s="54"/>
      <c r="J11" s="55"/>
      <c r="K11" s="56" t="s">
        <v>40</v>
      </c>
      <c r="L11" s="50"/>
      <c r="M11" s="50"/>
      <c r="N11" s="50"/>
      <c r="O11" s="234">
        <f>O9</f>
        <v>0</v>
      </c>
      <c r="P11" s="234">
        <f>P9+P10</f>
        <v>1193</v>
      </c>
      <c r="Q11" s="234">
        <f>Q9+Q10</f>
        <v>1193</v>
      </c>
    </row>
    <row r="12" spans="1:21" ht="63.6" customHeight="1">
      <c r="A12" s="296"/>
      <c r="B12" s="57"/>
      <c r="C12" s="25"/>
      <c r="D12" s="32"/>
      <c r="E12" s="32"/>
      <c r="F12" s="32"/>
      <c r="G12" s="32"/>
      <c r="H12" s="32"/>
      <c r="I12" s="58"/>
      <c r="J12" s="59"/>
      <c r="K12" s="60"/>
      <c r="L12" s="32"/>
      <c r="M12" s="32"/>
      <c r="N12" s="32"/>
      <c r="O12" s="32"/>
      <c r="P12" s="32"/>
      <c r="Q12" s="32"/>
    </row>
    <row r="13" spans="1:21" ht="45" customHeight="1">
      <c r="A13" s="296"/>
      <c r="B13" s="57" t="s">
        <v>199</v>
      </c>
      <c r="C13" s="25" t="s">
        <v>26</v>
      </c>
      <c r="D13" s="32"/>
      <c r="E13" s="32"/>
      <c r="F13" s="32"/>
      <c r="G13" s="33">
        <v>0</v>
      </c>
      <c r="H13" s="33">
        <f>Q10</f>
        <v>1193</v>
      </c>
      <c r="I13" s="34">
        <f>G13+H13</f>
        <v>1193</v>
      </c>
      <c r="J13" s="57" t="str">
        <f>B13</f>
        <v>02/04/2024       TO 30/04/2024</v>
      </c>
      <c r="K13" s="36" t="s">
        <v>38</v>
      </c>
      <c r="L13" s="32"/>
      <c r="M13" s="32"/>
      <c r="N13" s="32"/>
      <c r="O13" s="33">
        <v>0</v>
      </c>
      <c r="P13" s="33">
        <v>0</v>
      </c>
      <c r="Q13" s="33">
        <f>P13</f>
        <v>0</v>
      </c>
    </row>
    <row r="14" spans="1:21" ht="17.100000000000001" customHeight="1">
      <c r="A14" s="296"/>
      <c r="B14" s="37"/>
      <c r="C14" s="32"/>
      <c r="D14" s="32"/>
      <c r="E14" s="32"/>
      <c r="F14" s="32"/>
      <c r="G14" s="33"/>
      <c r="H14" s="33"/>
      <c r="I14" s="34"/>
      <c r="J14" s="38"/>
      <c r="K14" s="61"/>
      <c r="L14" s="32"/>
      <c r="M14" s="32"/>
      <c r="N14" s="32"/>
      <c r="O14" s="33"/>
      <c r="P14" s="33"/>
      <c r="Q14" s="39"/>
    </row>
    <row r="15" spans="1:21" ht="17.100000000000001" customHeight="1">
      <c r="A15" s="296"/>
      <c r="B15" s="31"/>
      <c r="C15" s="61"/>
      <c r="D15" s="32"/>
      <c r="E15" s="32"/>
      <c r="F15" s="32"/>
      <c r="G15" s="44"/>
      <c r="H15" s="46"/>
      <c r="I15" s="219"/>
      <c r="J15" s="38"/>
      <c r="K15" s="61"/>
      <c r="L15" s="32"/>
      <c r="M15" s="32"/>
      <c r="N15" s="32"/>
      <c r="O15" s="33"/>
      <c r="P15" s="32"/>
      <c r="Q15" s="39"/>
    </row>
    <row r="16" spans="1:21" ht="17.100000000000001" customHeight="1">
      <c r="A16" s="296"/>
      <c r="B16" s="37"/>
      <c r="C16" s="32"/>
      <c r="D16" s="32"/>
      <c r="E16" s="32"/>
      <c r="F16" s="32"/>
      <c r="G16" s="44"/>
      <c r="H16" s="46"/>
      <c r="I16" s="47"/>
      <c r="J16" s="38"/>
      <c r="K16" s="61"/>
      <c r="L16" s="32"/>
      <c r="M16" s="32"/>
      <c r="N16" s="32"/>
      <c r="O16" s="33"/>
      <c r="P16" s="32"/>
      <c r="Q16" s="39"/>
    </row>
    <row r="17" spans="1:17" ht="17.100000000000001" customHeight="1">
      <c r="A17" s="296"/>
      <c r="B17" s="37"/>
      <c r="C17" s="61"/>
      <c r="D17" s="32"/>
      <c r="E17" s="32"/>
      <c r="F17" s="32"/>
      <c r="G17" s="46"/>
      <c r="H17" s="46"/>
      <c r="I17" s="47"/>
      <c r="J17" s="38"/>
      <c r="K17" s="61"/>
      <c r="L17" s="32"/>
      <c r="M17" s="32"/>
      <c r="N17" s="32"/>
      <c r="O17" s="33"/>
      <c r="P17" s="32"/>
      <c r="Q17" s="39"/>
    </row>
    <row r="18" spans="1:17" ht="20.100000000000001" customHeight="1">
      <c r="A18" s="296"/>
      <c r="B18" s="37"/>
      <c r="C18" s="32"/>
      <c r="D18" s="32"/>
      <c r="E18" s="32"/>
      <c r="F18" s="32"/>
      <c r="G18" s="33"/>
      <c r="H18" s="33"/>
      <c r="I18" s="34"/>
      <c r="J18" s="38"/>
      <c r="K18" s="49" t="s">
        <v>70</v>
      </c>
      <c r="L18" s="32"/>
      <c r="M18" s="32"/>
      <c r="N18" s="32"/>
      <c r="O18" s="232">
        <f>SUM(O13:O17)</f>
        <v>0</v>
      </c>
      <c r="P18" s="232">
        <f>P13</f>
        <v>0</v>
      </c>
      <c r="Q18" s="232">
        <f>O18+P18</f>
        <v>0</v>
      </c>
    </row>
    <row r="19" spans="1:17" ht="20.100000000000001" customHeight="1">
      <c r="A19" s="296"/>
      <c r="B19" s="37"/>
      <c r="C19" s="32"/>
      <c r="D19" s="32"/>
      <c r="E19" s="32"/>
      <c r="F19" s="32"/>
      <c r="G19" s="233">
        <f>SUM(G13:G18)</f>
        <v>0</v>
      </c>
      <c r="H19" s="233">
        <f>SUM(H13:H18)</f>
        <v>1193</v>
      </c>
      <c r="I19" s="239">
        <f>SUM(I13:I18)</f>
        <v>1193</v>
      </c>
      <c r="J19" s="38"/>
      <c r="K19" s="49" t="s">
        <v>39</v>
      </c>
      <c r="L19" s="32"/>
      <c r="M19" s="32"/>
      <c r="N19" s="32"/>
      <c r="O19" s="233">
        <v>0</v>
      </c>
      <c r="P19" s="233">
        <f>H19-P18</f>
        <v>1193</v>
      </c>
      <c r="Q19" s="233">
        <f>I19-Q18</f>
        <v>1193</v>
      </c>
    </row>
    <row r="20" spans="1:17" ht="20.100000000000001" customHeight="1">
      <c r="A20" s="296"/>
      <c r="B20" s="37"/>
      <c r="C20" s="32"/>
      <c r="D20" s="32"/>
      <c r="E20" s="32"/>
      <c r="F20" s="32"/>
      <c r="G20" s="32"/>
      <c r="H20" s="32"/>
      <c r="I20" s="58"/>
      <c r="J20" s="38"/>
      <c r="K20" s="49" t="s">
        <v>40</v>
      </c>
      <c r="L20" s="32"/>
      <c r="M20" s="32"/>
      <c r="N20" s="32"/>
      <c r="O20" s="234">
        <f>O18</f>
        <v>0</v>
      </c>
      <c r="P20" s="234">
        <f>P18+P19</f>
        <v>1193</v>
      </c>
      <c r="Q20" s="234">
        <f>Q18+Q19</f>
        <v>1193</v>
      </c>
    </row>
    <row r="21" spans="1:17" ht="42.95" customHeight="1">
      <c r="A21" s="296"/>
      <c r="B21" s="329"/>
      <c r="C21" s="329"/>
      <c r="D21" s="329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329"/>
    </row>
    <row r="22" spans="1:17" ht="42.6" customHeight="1">
      <c r="A22" s="8">
        <f ca="1">A22:Q41</f>
        <v>0</v>
      </c>
      <c r="B22" s="318" t="s">
        <v>259</v>
      </c>
      <c r="C22" s="319"/>
      <c r="D22" s="319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</row>
    <row r="23" spans="1:17" ht="43.5" customHeight="1">
      <c r="A23" s="8"/>
      <c r="B23" s="321"/>
      <c r="C23" s="327"/>
      <c r="D23" s="327"/>
      <c r="E23" s="327"/>
      <c r="F23" s="327"/>
      <c r="G23" s="327"/>
      <c r="H23" s="327"/>
      <c r="I23" s="330"/>
      <c r="J23" s="325"/>
      <c r="K23" s="325"/>
      <c r="L23" s="325"/>
      <c r="M23" s="325"/>
      <c r="N23" s="325"/>
      <c r="O23" s="325"/>
      <c r="P23" s="325"/>
      <c r="Q23" s="326"/>
    </row>
    <row r="24" spans="1:17" ht="66" customHeight="1">
      <c r="A24" s="8"/>
      <c r="B24" s="27" t="s">
        <v>19</v>
      </c>
      <c r="C24" s="27" t="s">
        <v>29</v>
      </c>
      <c r="D24" s="28" t="s">
        <v>30</v>
      </c>
      <c r="E24" s="28" t="s">
        <v>31</v>
      </c>
      <c r="F24" s="28" t="s">
        <v>32</v>
      </c>
      <c r="G24" s="27" t="s">
        <v>33</v>
      </c>
      <c r="H24" s="27" t="s">
        <v>34</v>
      </c>
      <c r="I24" s="73" t="s">
        <v>35</v>
      </c>
      <c r="J24" s="79" t="s">
        <v>19</v>
      </c>
      <c r="K24" s="27" t="s">
        <v>69</v>
      </c>
      <c r="L24" s="28" t="s">
        <v>36</v>
      </c>
      <c r="M24" s="28" t="s">
        <v>37</v>
      </c>
      <c r="N24" s="28" t="s">
        <v>32</v>
      </c>
      <c r="O24" s="27" t="s">
        <v>33</v>
      </c>
      <c r="P24" s="27" t="s">
        <v>34</v>
      </c>
      <c r="Q24" s="27" t="s">
        <v>35</v>
      </c>
    </row>
    <row r="25" spans="1:17" ht="45" customHeight="1">
      <c r="A25" s="8"/>
      <c r="B25" s="57">
        <v>45356</v>
      </c>
      <c r="C25" s="25" t="s">
        <v>26</v>
      </c>
      <c r="D25" s="32"/>
      <c r="E25" s="32"/>
      <c r="F25" s="32"/>
      <c r="G25" s="33">
        <v>0</v>
      </c>
      <c r="H25" s="33">
        <f>P19</f>
        <v>1193</v>
      </c>
      <c r="I25" s="74">
        <f>G25+H25</f>
        <v>1193</v>
      </c>
      <c r="J25" s="80">
        <f>B25</f>
        <v>45356</v>
      </c>
      <c r="K25" s="60" t="s">
        <v>38</v>
      </c>
      <c r="L25" s="32"/>
      <c r="M25" s="32"/>
      <c r="N25" s="32"/>
      <c r="O25" s="33">
        <v>0</v>
      </c>
      <c r="P25" s="33">
        <v>0</v>
      </c>
      <c r="Q25" s="33">
        <f>P25</f>
        <v>0</v>
      </c>
    </row>
    <row r="26" spans="1:17" ht="17.100000000000001" customHeight="1">
      <c r="A26" s="8"/>
      <c r="B26" s="37"/>
      <c r="C26" s="32"/>
      <c r="D26" s="32"/>
      <c r="E26" s="32"/>
      <c r="F26" s="32"/>
      <c r="G26" s="33"/>
      <c r="H26" s="33"/>
      <c r="I26" s="74"/>
      <c r="J26" s="81"/>
      <c r="K26" s="32"/>
      <c r="L26" s="32"/>
      <c r="M26" s="32"/>
      <c r="N26" s="32"/>
      <c r="O26" s="33"/>
      <c r="P26" s="33"/>
      <c r="Q26" s="39"/>
    </row>
    <row r="27" spans="1:17" ht="17.100000000000001" customHeight="1">
      <c r="A27" s="8"/>
      <c r="B27" s="37"/>
      <c r="C27" s="62" t="s">
        <v>71</v>
      </c>
      <c r="D27" s="40"/>
      <c r="E27" s="40"/>
      <c r="F27" s="40"/>
      <c r="G27" s="40"/>
      <c r="H27" s="41">
        <v>113</v>
      </c>
      <c r="I27" s="75">
        <f>H27</f>
        <v>113</v>
      </c>
      <c r="J27" s="82"/>
      <c r="K27" s="43"/>
      <c r="L27" s="44"/>
      <c r="M27" s="44"/>
      <c r="N27" s="44"/>
      <c r="O27" s="33"/>
      <c r="P27" s="32"/>
      <c r="Q27" s="39"/>
    </row>
    <row r="28" spans="1:17" ht="17.100000000000001" customHeight="1">
      <c r="A28" s="8"/>
      <c r="B28" s="37"/>
      <c r="C28" s="44"/>
      <c r="D28" s="44"/>
      <c r="E28" s="44"/>
      <c r="F28" s="44"/>
      <c r="G28" s="44"/>
      <c r="H28" s="46"/>
      <c r="I28" s="76"/>
      <c r="J28" s="82"/>
      <c r="K28" s="48"/>
      <c r="L28" s="44"/>
      <c r="M28" s="44"/>
      <c r="N28" s="44"/>
      <c r="O28" s="33"/>
      <c r="P28" s="32"/>
      <c r="Q28" s="39"/>
    </row>
    <row r="29" spans="1:17" ht="17.100000000000001" customHeight="1">
      <c r="A29" s="8"/>
      <c r="B29" s="37"/>
      <c r="C29" s="48"/>
      <c r="D29" s="44"/>
      <c r="E29" s="44"/>
      <c r="F29" s="44"/>
      <c r="G29" s="45"/>
      <c r="H29" s="45"/>
      <c r="I29" s="77"/>
      <c r="J29" s="82"/>
      <c r="K29" s="48"/>
      <c r="L29" s="44"/>
      <c r="M29" s="44"/>
      <c r="N29" s="44"/>
      <c r="O29" s="33"/>
      <c r="P29" s="32"/>
      <c r="Q29" s="39"/>
    </row>
    <row r="30" spans="1:17" ht="20.100000000000001" customHeight="1">
      <c r="A30" s="8"/>
      <c r="B30" s="37"/>
      <c r="C30" s="32"/>
      <c r="D30" s="32"/>
      <c r="E30" s="32"/>
      <c r="F30" s="32"/>
      <c r="G30" s="33"/>
      <c r="H30" s="33"/>
      <c r="I30" s="74"/>
      <c r="J30" s="81"/>
      <c r="K30" s="49" t="s">
        <v>70</v>
      </c>
      <c r="L30" s="50"/>
      <c r="M30" s="50"/>
      <c r="N30" s="50"/>
      <c r="O30" s="232">
        <f>SUM(O25:O29)</f>
        <v>0</v>
      </c>
      <c r="P30" s="232">
        <f>O30</f>
        <v>0</v>
      </c>
      <c r="Q30" s="232">
        <f>O30+P30</f>
        <v>0</v>
      </c>
    </row>
    <row r="31" spans="1:17" ht="20.100000000000001" customHeight="1">
      <c r="A31" s="8"/>
      <c r="B31" s="37"/>
      <c r="C31" s="32"/>
      <c r="D31" s="32"/>
      <c r="E31" s="32"/>
      <c r="F31" s="32"/>
      <c r="G31" s="233">
        <f>SUM(G25:G30)</f>
        <v>0</v>
      </c>
      <c r="H31" s="233">
        <f>SUM(H25:H30)</f>
        <v>1306</v>
      </c>
      <c r="I31" s="238">
        <f>SUM(I25:I30)</f>
        <v>1306</v>
      </c>
      <c r="J31" s="81"/>
      <c r="K31" s="49" t="s">
        <v>39</v>
      </c>
      <c r="L31" s="50"/>
      <c r="M31" s="50"/>
      <c r="N31" s="50"/>
      <c r="O31" s="233">
        <v>0</v>
      </c>
      <c r="P31" s="233">
        <f>I25+I27-I29</f>
        <v>1306</v>
      </c>
      <c r="Q31" s="233">
        <f>I31-Q30</f>
        <v>1306</v>
      </c>
    </row>
    <row r="32" spans="1:17" ht="20.100000000000001" customHeight="1">
      <c r="A32" s="8"/>
      <c r="B32" s="37"/>
      <c r="C32" s="32"/>
      <c r="D32" s="32"/>
      <c r="E32" s="32"/>
      <c r="F32" s="32"/>
      <c r="G32" s="32"/>
      <c r="H32" s="32"/>
      <c r="I32" s="78"/>
      <c r="J32" s="81"/>
      <c r="K32" s="49" t="s">
        <v>40</v>
      </c>
      <c r="L32" s="50"/>
      <c r="M32" s="50"/>
      <c r="N32" s="50"/>
      <c r="O32" s="234">
        <f>O30</f>
        <v>0</v>
      </c>
      <c r="P32" s="234">
        <f>P30+P31</f>
        <v>1306</v>
      </c>
      <c r="Q32" s="234">
        <f>Q30+Q31</f>
        <v>1306</v>
      </c>
    </row>
    <row r="33" spans="1:17" ht="63.6" customHeight="1">
      <c r="A33" s="8"/>
      <c r="B33" s="63"/>
      <c r="C33" s="63"/>
      <c r="D33" s="32"/>
      <c r="E33" s="32"/>
      <c r="F33" s="32"/>
      <c r="G33" s="32"/>
      <c r="H33" s="32"/>
      <c r="I33" s="78"/>
      <c r="J33" s="80"/>
      <c r="K33" s="32"/>
      <c r="L33" s="32"/>
      <c r="M33" s="32"/>
      <c r="N33" s="32"/>
      <c r="O33" s="32"/>
      <c r="P33" s="32"/>
      <c r="Q33" s="32"/>
    </row>
    <row r="34" spans="1:17" ht="45" customHeight="1">
      <c r="A34" s="8"/>
      <c r="B34" s="57" t="s">
        <v>200</v>
      </c>
      <c r="C34" s="25" t="s">
        <v>26</v>
      </c>
      <c r="D34" s="32"/>
      <c r="E34" s="32"/>
      <c r="F34" s="32"/>
      <c r="G34" s="33">
        <v>0</v>
      </c>
      <c r="H34" s="33">
        <f>Q31</f>
        <v>1306</v>
      </c>
      <c r="I34" s="74">
        <f>G34+H34</f>
        <v>1306</v>
      </c>
      <c r="J34" s="80" t="str">
        <f>B34</f>
        <v>18/05/2024</v>
      </c>
      <c r="K34" s="60" t="s">
        <v>38</v>
      </c>
      <c r="L34" s="32"/>
      <c r="M34" s="126"/>
      <c r="N34" s="32"/>
      <c r="O34" s="33">
        <v>0</v>
      </c>
      <c r="P34" s="33">
        <v>0</v>
      </c>
      <c r="Q34" s="33">
        <v>0</v>
      </c>
    </row>
    <row r="35" spans="1:17" ht="17.100000000000001" customHeight="1">
      <c r="A35" s="8"/>
      <c r="B35" s="37"/>
      <c r="C35" s="32"/>
      <c r="D35" s="32"/>
      <c r="E35" s="32"/>
      <c r="F35" s="32"/>
      <c r="G35" s="33"/>
      <c r="H35" s="33"/>
      <c r="I35" s="74"/>
      <c r="J35" s="81"/>
      <c r="K35" s="61"/>
      <c r="L35" s="32"/>
      <c r="M35" s="32"/>
      <c r="N35" s="32"/>
      <c r="O35" s="33"/>
      <c r="P35" s="33"/>
      <c r="Q35" s="39"/>
    </row>
    <row r="36" spans="1:17" ht="17.100000000000001" customHeight="1">
      <c r="A36" s="8"/>
      <c r="B36" s="57"/>
      <c r="C36" s="62" t="s">
        <v>90</v>
      </c>
      <c r="D36" s="32"/>
      <c r="E36" s="32"/>
      <c r="F36" s="32"/>
      <c r="G36" s="40"/>
      <c r="H36" s="41">
        <v>3600</v>
      </c>
      <c r="I36" s="75">
        <f>H36</f>
        <v>3600</v>
      </c>
      <c r="J36" s="81"/>
      <c r="K36" s="61"/>
      <c r="L36" s="32"/>
      <c r="M36" s="32"/>
      <c r="N36" s="32"/>
      <c r="O36" s="138"/>
      <c r="P36" s="32"/>
      <c r="Q36" s="39"/>
    </row>
    <row r="37" spans="1:17" ht="17.100000000000001" customHeight="1">
      <c r="A37" s="8"/>
      <c r="B37" s="37"/>
      <c r="C37" s="61"/>
      <c r="D37" s="32"/>
      <c r="E37" s="32"/>
      <c r="F37" s="32"/>
      <c r="G37" s="44"/>
      <c r="H37" s="46"/>
      <c r="I37" s="76"/>
      <c r="J37" s="81"/>
      <c r="K37" s="61"/>
      <c r="L37" s="32"/>
      <c r="M37" s="32"/>
      <c r="N37" s="32"/>
      <c r="O37" s="33"/>
      <c r="P37" s="32"/>
      <c r="Q37" s="39"/>
    </row>
    <row r="38" spans="1:17" ht="17.100000000000001" customHeight="1">
      <c r="A38" s="8"/>
      <c r="B38" s="37"/>
      <c r="C38" s="61"/>
      <c r="D38" s="32"/>
      <c r="E38" s="32"/>
      <c r="F38" s="32"/>
      <c r="G38" s="45"/>
      <c r="H38" s="45"/>
      <c r="I38" s="77"/>
      <c r="J38" s="81"/>
      <c r="K38" s="61"/>
      <c r="L38" s="32"/>
      <c r="M38" s="32"/>
      <c r="N38" s="32"/>
      <c r="O38" s="33"/>
      <c r="P38" s="32"/>
      <c r="Q38" s="39"/>
    </row>
    <row r="39" spans="1:17" ht="20.100000000000001" customHeight="1">
      <c r="A39" s="8"/>
      <c r="B39" s="37"/>
      <c r="C39" s="32"/>
      <c r="D39" s="32"/>
      <c r="E39" s="32"/>
      <c r="F39" s="32"/>
      <c r="G39" s="33"/>
      <c r="H39" s="33"/>
      <c r="I39" s="74"/>
      <c r="J39" s="81"/>
      <c r="K39" s="49" t="s">
        <v>70</v>
      </c>
      <c r="L39" s="32"/>
      <c r="M39" s="32"/>
      <c r="N39" s="32"/>
      <c r="O39" s="236">
        <f>SUM(O34:O38)</f>
        <v>0</v>
      </c>
      <c r="P39" s="232">
        <f>P34+O36-O39</f>
        <v>0</v>
      </c>
      <c r="Q39" s="232">
        <f>O39+P39</f>
        <v>0</v>
      </c>
    </row>
    <row r="40" spans="1:17" ht="20.100000000000001" customHeight="1">
      <c r="A40" s="8"/>
      <c r="B40" s="37"/>
      <c r="C40" s="32"/>
      <c r="D40" s="32"/>
      <c r="E40" s="32"/>
      <c r="F40" s="32"/>
      <c r="G40" s="233">
        <f>SUM(G34:G39)</f>
        <v>0</v>
      </c>
      <c r="H40" s="233">
        <f>SUM(H34:H39)</f>
        <v>4906</v>
      </c>
      <c r="I40" s="238">
        <f>SUM(I34:I39)</f>
        <v>4906</v>
      </c>
      <c r="J40" s="81"/>
      <c r="K40" s="49" t="s">
        <v>39</v>
      </c>
      <c r="L40" s="32"/>
      <c r="M40" s="32"/>
      <c r="N40" s="32"/>
      <c r="O40" s="233">
        <v>0</v>
      </c>
      <c r="P40" s="233">
        <f>H40-P39</f>
        <v>4906</v>
      </c>
      <c r="Q40" s="233">
        <f>I40-Q39</f>
        <v>4906</v>
      </c>
    </row>
    <row r="41" spans="1:17" ht="20.100000000000001" customHeight="1">
      <c r="A41" s="8"/>
      <c r="B41" s="37"/>
      <c r="C41" s="32"/>
      <c r="D41" s="32"/>
      <c r="E41" s="32"/>
      <c r="F41" s="32"/>
      <c r="G41" s="32"/>
      <c r="H41" s="32"/>
      <c r="I41" s="78"/>
      <c r="J41" s="81"/>
      <c r="K41" s="49" t="s">
        <v>40</v>
      </c>
      <c r="L41" s="32"/>
      <c r="M41" s="32"/>
      <c r="N41" s="32"/>
      <c r="O41" s="235">
        <f>O39</f>
        <v>0</v>
      </c>
      <c r="P41" s="234">
        <f>P39+P40</f>
        <v>4906</v>
      </c>
      <c r="Q41" s="234">
        <f>Q39+Q40</f>
        <v>4906</v>
      </c>
    </row>
    <row r="42" spans="1:17" ht="42.95" customHeight="1">
      <c r="A42" s="8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</row>
    <row r="43" spans="1:17" ht="42.6" customHeight="1">
      <c r="A43" s="8">
        <f ca="1">A43:Q62</f>
        <v>0</v>
      </c>
      <c r="B43" s="318" t="s">
        <v>259</v>
      </c>
      <c r="C43" s="319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</row>
    <row r="44" spans="1:17" ht="43.5" customHeight="1">
      <c r="A44" s="8"/>
      <c r="B44" s="320"/>
      <c r="C44" s="320"/>
      <c r="D44" s="320"/>
      <c r="E44" s="320"/>
      <c r="F44" s="320"/>
      <c r="G44" s="320"/>
      <c r="H44" s="320"/>
      <c r="I44" s="321"/>
      <c r="J44" s="322"/>
      <c r="K44" s="323"/>
      <c r="L44" s="323"/>
      <c r="M44" s="323"/>
      <c r="N44" s="323"/>
      <c r="O44" s="323"/>
      <c r="P44" s="323"/>
      <c r="Q44" s="323"/>
    </row>
    <row r="45" spans="1:17" ht="66" customHeight="1">
      <c r="A45" s="8"/>
      <c r="B45" s="27" t="s">
        <v>19</v>
      </c>
      <c r="C45" s="27" t="s">
        <v>29</v>
      </c>
      <c r="D45" s="28" t="s">
        <v>30</v>
      </c>
      <c r="E45" s="28" t="s">
        <v>31</v>
      </c>
      <c r="F45" s="28" t="s">
        <v>32</v>
      </c>
      <c r="G45" s="27" t="s">
        <v>33</v>
      </c>
      <c r="H45" s="27" t="s">
        <v>34</v>
      </c>
      <c r="I45" s="73" t="s">
        <v>35</v>
      </c>
      <c r="J45" s="79" t="s">
        <v>19</v>
      </c>
      <c r="K45" s="27" t="s">
        <v>69</v>
      </c>
      <c r="L45" s="28" t="s">
        <v>36</v>
      </c>
      <c r="M45" s="28" t="s">
        <v>37</v>
      </c>
      <c r="N45" s="28" t="s">
        <v>32</v>
      </c>
      <c r="O45" s="27" t="s">
        <v>33</v>
      </c>
      <c r="P45" s="27" t="s">
        <v>34</v>
      </c>
      <c r="Q45" s="27" t="s">
        <v>35</v>
      </c>
    </row>
    <row r="46" spans="1:17" ht="45" customHeight="1">
      <c r="A46" s="8"/>
      <c r="B46" s="57" t="s">
        <v>210</v>
      </c>
      <c r="C46" s="25" t="s">
        <v>26</v>
      </c>
      <c r="D46" s="32"/>
      <c r="E46" s="32"/>
      <c r="F46" s="32"/>
      <c r="G46" s="33">
        <v>0</v>
      </c>
      <c r="H46" s="33">
        <f>P40</f>
        <v>4906</v>
      </c>
      <c r="I46" s="74">
        <f>G46+H46</f>
        <v>4906</v>
      </c>
      <c r="J46" s="80" t="str">
        <f>B46</f>
        <v>19/05/2024   TO   31/05/2024</v>
      </c>
      <c r="K46" s="60" t="s">
        <v>38</v>
      </c>
      <c r="L46" s="57"/>
      <c r="M46" s="57"/>
      <c r="N46" s="32"/>
      <c r="O46" s="33">
        <v>0</v>
      </c>
      <c r="P46" s="33">
        <v>0</v>
      </c>
      <c r="Q46" s="33">
        <f>P46</f>
        <v>0</v>
      </c>
    </row>
    <row r="47" spans="1:17" ht="17.100000000000001" customHeight="1">
      <c r="A47" s="8"/>
      <c r="B47" s="37"/>
      <c r="C47" s="32"/>
      <c r="D47" s="32"/>
      <c r="E47" s="32"/>
      <c r="F47" s="32"/>
      <c r="G47" s="33"/>
      <c r="H47" s="33"/>
      <c r="I47" s="74"/>
      <c r="J47" s="81"/>
      <c r="K47" s="32"/>
      <c r="L47" s="32"/>
      <c r="M47" s="32"/>
      <c r="N47" s="32"/>
      <c r="O47" s="39"/>
      <c r="P47" s="39"/>
      <c r="Q47" s="39"/>
    </row>
    <row r="48" spans="1:17" ht="17.100000000000001" customHeight="1">
      <c r="A48" s="8"/>
      <c r="B48" s="37"/>
      <c r="C48" s="119"/>
      <c r="D48" s="40"/>
      <c r="E48" s="40"/>
      <c r="F48" s="40"/>
      <c r="G48" s="40"/>
      <c r="H48" s="41">
        <v>0</v>
      </c>
      <c r="I48" s="75">
        <f>H48</f>
        <v>0</v>
      </c>
      <c r="J48" s="82"/>
      <c r="K48" s="43"/>
      <c r="L48" s="44"/>
      <c r="M48" s="44"/>
      <c r="N48" s="44"/>
      <c r="O48" s="33"/>
      <c r="P48" s="32"/>
      <c r="Q48" s="39"/>
    </row>
    <row r="49" spans="1:17" ht="17.100000000000001" customHeight="1">
      <c r="A49" s="8"/>
      <c r="B49" s="37"/>
      <c r="C49" s="44"/>
      <c r="D49" s="44"/>
      <c r="E49" s="44"/>
      <c r="F49" s="44"/>
      <c r="G49" s="44"/>
      <c r="H49" s="46"/>
      <c r="I49" s="76"/>
      <c r="J49" s="82"/>
      <c r="K49" s="48"/>
      <c r="L49" s="44"/>
      <c r="M49" s="44"/>
      <c r="N49" s="44"/>
      <c r="O49" s="33"/>
      <c r="P49" s="32"/>
      <c r="Q49" s="39"/>
    </row>
    <row r="50" spans="1:17" ht="17.100000000000001" customHeight="1">
      <c r="A50" s="8"/>
      <c r="B50" s="37"/>
      <c r="C50" s="48"/>
      <c r="D50" s="44"/>
      <c r="E50" s="44"/>
      <c r="F50" s="44"/>
      <c r="G50" s="45">
        <v>0</v>
      </c>
      <c r="H50" s="45">
        <v>0</v>
      </c>
      <c r="I50" s="77">
        <f>G50+H50</f>
        <v>0</v>
      </c>
      <c r="J50" s="82"/>
      <c r="K50" s="48"/>
      <c r="L50" s="44"/>
      <c r="M50" s="44"/>
      <c r="N50" s="44"/>
      <c r="O50" s="33"/>
      <c r="P50" s="32"/>
      <c r="Q50" s="39"/>
    </row>
    <row r="51" spans="1:17" ht="20.100000000000001" customHeight="1">
      <c r="A51" s="8"/>
      <c r="B51" s="37"/>
      <c r="C51" s="32"/>
      <c r="D51" s="32"/>
      <c r="E51" s="32"/>
      <c r="F51" s="32"/>
      <c r="G51" s="33"/>
      <c r="H51" s="33"/>
      <c r="I51" s="74"/>
      <c r="J51" s="81"/>
      <c r="K51" s="49" t="s">
        <v>70</v>
      </c>
      <c r="L51" s="50"/>
      <c r="M51" s="50"/>
      <c r="N51" s="50"/>
      <c r="O51" s="232">
        <f>SUM(O46:O50)</f>
        <v>0</v>
      </c>
      <c r="P51" s="232">
        <f>P46</f>
        <v>0</v>
      </c>
      <c r="Q51" s="232">
        <f>O51+P51</f>
        <v>0</v>
      </c>
    </row>
    <row r="52" spans="1:17" ht="20.100000000000001" customHeight="1">
      <c r="A52" s="8"/>
      <c r="B52" s="37"/>
      <c r="C52" s="32"/>
      <c r="D52" s="32"/>
      <c r="E52" s="32"/>
      <c r="F52" s="32"/>
      <c r="G52" s="233">
        <f>SUM(G46:G51)</f>
        <v>0</v>
      </c>
      <c r="H52" s="233">
        <f>SUM(H46:H51)</f>
        <v>4906</v>
      </c>
      <c r="I52" s="238">
        <f>SUM(I46:I51)</f>
        <v>4906</v>
      </c>
      <c r="J52" s="81"/>
      <c r="K52" s="49" t="s">
        <v>39</v>
      </c>
      <c r="L52" s="50"/>
      <c r="M52" s="50"/>
      <c r="N52" s="50"/>
      <c r="O52" s="233">
        <v>0</v>
      </c>
      <c r="P52" s="233">
        <f>I52-P51</f>
        <v>4906</v>
      </c>
      <c r="Q52" s="233">
        <f>I52-Q51</f>
        <v>4906</v>
      </c>
    </row>
    <row r="53" spans="1:17" ht="20.100000000000001" customHeight="1">
      <c r="A53" s="8"/>
      <c r="B53" s="37"/>
      <c r="C53" s="32"/>
      <c r="D53" s="32"/>
      <c r="E53" s="32"/>
      <c r="F53" s="32"/>
      <c r="G53" s="32"/>
      <c r="H53" s="32"/>
      <c r="I53" s="78"/>
      <c r="J53" s="81"/>
      <c r="K53" s="49" t="s">
        <v>40</v>
      </c>
      <c r="L53" s="50"/>
      <c r="M53" s="50"/>
      <c r="N53" s="50"/>
      <c r="O53" s="234">
        <f>O51</f>
        <v>0</v>
      </c>
      <c r="P53" s="234">
        <f>P51+P52</f>
        <v>4906</v>
      </c>
      <c r="Q53" s="234">
        <f>Q51+Q52</f>
        <v>4906</v>
      </c>
    </row>
    <row r="54" spans="1:17" ht="63.6" customHeight="1">
      <c r="A54" s="8"/>
      <c r="B54" s="57"/>
      <c r="C54" s="25"/>
      <c r="D54" s="32"/>
      <c r="E54" s="32"/>
      <c r="F54" s="32"/>
      <c r="G54" s="32"/>
      <c r="H54" s="32"/>
      <c r="I54" s="78"/>
      <c r="J54" s="80"/>
      <c r="K54" s="60"/>
      <c r="L54" s="32"/>
      <c r="M54" s="32"/>
      <c r="N54" s="32"/>
      <c r="O54" s="32"/>
      <c r="P54" s="32"/>
      <c r="Q54" s="32"/>
    </row>
    <row r="55" spans="1:17" ht="45" customHeight="1">
      <c r="A55" s="8"/>
      <c r="B55" s="57" t="s">
        <v>265</v>
      </c>
      <c r="C55" s="25" t="s">
        <v>26</v>
      </c>
      <c r="D55" s="32"/>
      <c r="E55" s="32"/>
      <c r="F55" s="32"/>
      <c r="G55" s="33">
        <v>0</v>
      </c>
      <c r="H55" s="33">
        <f>Q52</f>
        <v>4906</v>
      </c>
      <c r="I55" s="74">
        <f>G55+H55</f>
        <v>4906</v>
      </c>
      <c r="J55" s="80" t="str">
        <f>B55</f>
        <v>01/06/2024   TO   02/07/2024</v>
      </c>
      <c r="K55" s="60" t="s">
        <v>38</v>
      </c>
      <c r="L55" s="32"/>
      <c r="M55" s="126"/>
      <c r="N55" s="32"/>
      <c r="O55" s="33">
        <v>0</v>
      </c>
      <c r="P55" s="33">
        <v>0</v>
      </c>
      <c r="Q55" s="33">
        <v>0</v>
      </c>
    </row>
    <row r="56" spans="1:17" ht="17.100000000000001" customHeight="1">
      <c r="A56" s="8"/>
      <c r="B56" s="37"/>
      <c r="C56" s="32"/>
      <c r="D56" s="32"/>
      <c r="E56" s="32"/>
      <c r="F56" s="32"/>
      <c r="G56" s="33"/>
      <c r="H56" s="33"/>
      <c r="I56" s="74"/>
      <c r="J56" s="81"/>
      <c r="K56" s="61"/>
      <c r="L56" s="32"/>
      <c r="M56" s="32"/>
      <c r="N56" s="32"/>
      <c r="O56" s="33"/>
      <c r="P56" s="33"/>
      <c r="Q56" s="39"/>
    </row>
    <row r="57" spans="1:17" ht="17.100000000000001" customHeight="1">
      <c r="A57" s="8"/>
      <c r="B57" s="57"/>
      <c r="C57" s="62"/>
      <c r="D57" s="32"/>
      <c r="E57" s="32"/>
      <c r="F57" s="32"/>
      <c r="G57" s="40"/>
      <c r="H57" s="41"/>
      <c r="I57" s="75"/>
      <c r="J57" s="81"/>
      <c r="K57" s="61"/>
      <c r="L57" s="32"/>
      <c r="M57" s="32"/>
      <c r="N57" s="32"/>
      <c r="O57" s="138"/>
      <c r="P57" s="32"/>
      <c r="Q57" s="39"/>
    </row>
    <row r="58" spans="1:17" ht="17.100000000000001" customHeight="1">
      <c r="A58" s="8"/>
      <c r="B58" s="37"/>
      <c r="C58" s="61"/>
      <c r="D58" s="32"/>
      <c r="E58" s="32"/>
      <c r="F58" s="32"/>
      <c r="G58" s="44"/>
      <c r="H58" s="46"/>
      <c r="I58" s="76"/>
      <c r="J58" s="81"/>
      <c r="K58" s="61"/>
      <c r="L58" s="32"/>
      <c r="M58" s="32"/>
      <c r="N58" s="32"/>
      <c r="O58" s="33"/>
      <c r="P58" s="32"/>
      <c r="Q58" s="39"/>
    </row>
    <row r="59" spans="1:17" ht="17.100000000000001" customHeight="1">
      <c r="A59" s="8"/>
      <c r="B59" s="37"/>
      <c r="C59" s="61"/>
      <c r="D59" s="32"/>
      <c r="E59" s="32"/>
      <c r="F59" s="32"/>
      <c r="G59" s="45"/>
      <c r="H59" s="45"/>
      <c r="I59" s="77"/>
      <c r="J59" s="81"/>
      <c r="K59" s="61"/>
      <c r="L59" s="32"/>
      <c r="M59" s="32"/>
      <c r="N59" s="32"/>
      <c r="O59" s="33"/>
      <c r="P59" s="32"/>
      <c r="Q59" s="39"/>
    </row>
    <row r="60" spans="1:17" ht="20.100000000000001" customHeight="1">
      <c r="A60" s="8"/>
      <c r="B60" s="37"/>
      <c r="C60" s="32"/>
      <c r="D60" s="32"/>
      <c r="E60" s="32"/>
      <c r="F60" s="32"/>
      <c r="G60" s="33"/>
      <c r="H60" s="33"/>
      <c r="I60" s="74"/>
      <c r="J60" s="81"/>
      <c r="K60" s="49" t="s">
        <v>70</v>
      </c>
      <c r="L60" s="32"/>
      <c r="M60" s="32"/>
      <c r="N60" s="32"/>
      <c r="O60" s="236">
        <f>SUM(O55:O59)</f>
        <v>0</v>
      </c>
      <c r="P60" s="232">
        <f>P55+O57-O60</f>
        <v>0</v>
      </c>
      <c r="Q60" s="232">
        <f>O60+P60</f>
        <v>0</v>
      </c>
    </row>
    <row r="61" spans="1:17" ht="20.100000000000001" customHeight="1">
      <c r="A61" s="8"/>
      <c r="B61" s="37"/>
      <c r="C61" s="32"/>
      <c r="D61" s="32"/>
      <c r="E61" s="32"/>
      <c r="F61" s="32"/>
      <c r="G61" s="233">
        <f>SUM(G55:G60)</f>
        <v>0</v>
      </c>
      <c r="H61" s="233">
        <f>SUM(H55:H60)</f>
        <v>4906</v>
      </c>
      <c r="I61" s="238">
        <f>SUM(I55:I60)</f>
        <v>4906</v>
      </c>
      <c r="J61" s="81"/>
      <c r="K61" s="49" t="s">
        <v>39</v>
      </c>
      <c r="L61" s="32"/>
      <c r="M61" s="32"/>
      <c r="N61" s="32"/>
      <c r="O61" s="233">
        <v>0</v>
      </c>
      <c r="P61" s="233">
        <f>H61-P60</f>
        <v>4906</v>
      </c>
      <c r="Q61" s="233">
        <f>I61-Q60</f>
        <v>4906</v>
      </c>
    </row>
    <row r="62" spans="1:17" ht="20.100000000000001" customHeight="1">
      <c r="A62" s="8"/>
      <c r="B62" s="37"/>
      <c r="C62" s="32"/>
      <c r="D62" s="32"/>
      <c r="E62" s="32"/>
      <c r="F62" s="32"/>
      <c r="G62" s="32"/>
      <c r="H62" s="32"/>
      <c r="I62" s="78"/>
      <c r="J62" s="81"/>
      <c r="K62" s="49" t="s">
        <v>40</v>
      </c>
      <c r="L62" s="32"/>
      <c r="M62" s="32"/>
      <c r="N62" s="32"/>
      <c r="O62" s="235">
        <f>O60</f>
        <v>0</v>
      </c>
      <c r="P62" s="234">
        <f>P60+P61</f>
        <v>4906</v>
      </c>
      <c r="Q62" s="234">
        <f>Q60+Q61</f>
        <v>4906</v>
      </c>
    </row>
    <row r="63" spans="1:17" ht="42.95" customHeight="1">
      <c r="A63" s="8"/>
      <c r="B63" s="331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3"/>
    </row>
    <row r="64" spans="1:17" ht="42.6" customHeight="1">
      <c r="A64" s="296">
        <f ca="1">A64:Q84</f>
        <v>0</v>
      </c>
      <c r="B64" s="318" t="s">
        <v>259</v>
      </c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</row>
    <row r="65" spans="1:17" ht="43.5" customHeight="1">
      <c r="A65" s="296"/>
      <c r="B65" s="321"/>
      <c r="C65" s="327"/>
      <c r="D65" s="327"/>
      <c r="E65" s="327"/>
      <c r="F65" s="327"/>
      <c r="G65" s="327"/>
      <c r="H65" s="327"/>
      <c r="I65" s="328"/>
      <c r="J65" s="324"/>
      <c r="K65" s="325"/>
      <c r="L65" s="325"/>
      <c r="M65" s="325"/>
      <c r="N65" s="325"/>
      <c r="O65" s="325"/>
      <c r="P65" s="325"/>
      <c r="Q65" s="326"/>
    </row>
    <row r="66" spans="1:17" ht="66" customHeight="1">
      <c r="A66" s="296"/>
      <c r="B66" s="27" t="s">
        <v>19</v>
      </c>
      <c r="C66" s="27" t="s">
        <v>29</v>
      </c>
      <c r="D66" s="28" t="s">
        <v>30</v>
      </c>
      <c r="E66" s="28" t="s">
        <v>31</v>
      </c>
      <c r="F66" s="28" t="s">
        <v>32</v>
      </c>
      <c r="G66" s="27" t="s">
        <v>33</v>
      </c>
      <c r="H66" s="27" t="s">
        <v>34</v>
      </c>
      <c r="I66" s="73" t="s">
        <v>35</v>
      </c>
      <c r="J66" s="79" t="s">
        <v>19</v>
      </c>
      <c r="K66" s="27" t="s">
        <v>69</v>
      </c>
      <c r="L66" s="28" t="s">
        <v>36</v>
      </c>
      <c r="M66" s="28" t="s">
        <v>37</v>
      </c>
      <c r="N66" s="28" t="s">
        <v>32</v>
      </c>
      <c r="O66" s="27" t="s">
        <v>33</v>
      </c>
      <c r="P66" s="27" t="s">
        <v>34</v>
      </c>
      <c r="Q66" s="27" t="s">
        <v>35</v>
      </c>
    </row>
    <row r="67" spans="1:17" ht="45" customHeight="1">
      <c r="A67" s="296"/>
      <c r="B67" s="57">
        <v>45358</v>
      </c>
      <c r="C67" s="25" t="s">
        <v>26</v>
      </c>
      <c r="D67" s="32"/>
      <c r="E67" s="32"/>
      <c r="F67" s="32"/>
      <c r="G67" s="33">
        <v>0</v>
      </c>
      <c r="H67" s="33">
        <f>P61</f>
        <v>4906</v>
      </c>
      <c r="I67" s="74">
        <f>G67+H67</f>
        <v>4906</v>
      </c>
      <c r="J67" s="80">
        <f>B67</f>
        <v>45358</v>
      </c>
      <c r="K67" s="60" t="s">
        <v>115</v>
      </c>
      <c r="L67" s="129" t="s">
        <v>261</v>
      </c>
      <c r="M67" s="126" t="s">
        <v>260</v>
      </c>
      <c r="N67" s="32"/>
      <c r="O67" s="33">
        <v>0</v>
      </c>
      <c r="P67" s="33">
        <v>3600</v>
      </c>
      <c r="Q67" s="33">
        <f>P67</f>
        <v>3600</v>
      </c>
    </row>
    <row r="68" spans="1:17" ht="17.100000000000001" customHeight="1">
      <c r="A68" s="296"/>
      <c r="B68" s="37"/>
      <c r="C68" s="32"/>
      <c r="D68" s="32"/>
      <c r="E68" s="32"/>
      <c r="F68" s="32"/>
      <c r="G68" s="33"/>
      <c r="H68" s="33"/>
      <c r="I68" s="74"/>
      <c r="J68" s="81"/>
      <c r="K68" s="128" t="s">
        <v>101</v>
      </c>
      <c r="L68" s="83"/>
      <c r="M68" s="44"/>
      <c r="N68" s="32"/>
      <c r="O68" s="33"/>
      <c r="P68" s="33"/>
      <c r="Q68" s="39"/>
    </row>
    <row r="69" spans="1:17" ht="17.100000000000001" customHeight="1">
      <c r="A69" s="296"/>
      <c r="B69" s="37"/>
      <c r="C69" s="48"/>
      <c r="D69" s="44"/>
      <c r="E69" s="44"/>
      <c r="F69" s="44"/>
      <c r="G69" s="44"/>
      <c r="H69" s="46"/>
      <c r="I69" s="137"/>
      <c r="J69" s="82"/>
      <c r="K69" s="135" t="s">
        <v>104</v>
      </c>
      <c r="L69" s="287" t="s">
        <v>264</v>
      </c>
      <c r="M69" s="44"/>
      <c r="N69" s="44"/>
      <c r="O69" s="33">
        <v>900</v>
      </c>
      <c r="P69" s="32"/>
      <c r="Q69" s="39">
        <f>O69</f>
        <v>900</v>
      </c>
    </row>
    <row r="70" spans="1:17" ht="17.100000000000001" customHeight="1">
      <c r="A70" s="296"/>
      <c r="B70" s="37"/>
      <c r="C70" s="44"/>
      <c r="D70" s="44"/>
      <c r="E70" s="44"/>
      <c r="F70" s="44"/>
      <c r="G70" s="44"/>
      <c r="H70" s="46"/>
      <c r="I70" s="76"/>
      <c r="J70" s="82"/>
      <c r="K70" s="160" t="s">
        <v>280</v>
      </c>
      <c r="L70" s="287" t="s">
        <v>262</v>
      </c>
      <c r="M70" s="32"/>
      <c r="N70" s="44"/>
      <c r="O70" s="33">
        <v>900</v>
      </c>
      <c r="P70" s="32"/>
      <c r="Q70" s="39">
        <f t="shared" ref="Q70:Q72" si="0">O70</f>
        <v>900</v>
      </c>
    </row>
    <row r="71" spans="1:17" ht="17.100000000000001" customHeight="1">
      <c r="A71" s="296"/>
      <c r="B71" s="37"/>
      <c r="C71" s="48"/>
      <c r="D71" s="44"/>
      <c r="E71" s="44"/>
      <c r="F71" s="44"/>
      <c r="G71" s="46"/>
      <c r="H71" s="46"/>
      <c r="I71" s="76"/>
      <c r="J71" s="82"/>
      <c r="K71" s="135" t="s">
        <v>104</v>
      </c>
      <c r="L71" s="287" t="s">
        <v>211</v>
      </c>
      <c r="M71" s="44"/>
      <c r="N71" s="44"/>
      <c r="O71" s="33">
        <v>900</v>
      </c>
      <c r="P71" s="32"/>
      <c r="Q71" s="39">
        <f t="shared" si="0"/>
        <v>900</v>
      </c>
    </row>
    <row r="72" spans="1:17" ht="17.100000000000001" customHeight="1">
      <c r="A72" s="296"/>
      <c r="B72" s="37"/>
      <c r="C72" s="230" t="s">
        <v>114</v>
      </c>
      <c r="D72" s="44"/>
      <c r="E72" s="44"/>
      <c r="F72" s="44"/>
      <c r="G72" s="46">
        <v>3600</v>
      </c>
      <c r="H72" s="46"/>
      <c r="I72" s="76">
        <f>G72</f>
        <v>3600</v>
      </c>
      <c r="J72" s="82"/>
      <c r="K72" s="160" t="s">
        <v>280</v>
      </c>
      <c r="L72" s="287" t="s">
        <v>263</v>
      </c>
      <c r="M72" s="44"/>
      <c r="N72" s="44"/>
      <c r="O72" s="33">
        <v>900</v>
      </c>
      <c r="P72" s="32"/>
      <c r="Q72" s="39">
        <f t="shared" si="0"/>
        <v>900</v>
      </c>
    </row>
    <row r="73" spans="1:17" ht="17.100000000000001" customHeight="1">
      <c r="A73" s="296"/>
      <c r="B73" s="37"/>
      <c r="C73" s="48"/>
      <c r="D73" s="44"/>
      <c r="E73" s="44"/>
      <c r="F73" s="44"/>
      <c r="G73" s="46"/>
      <c r="H73" s="46"/>
      <c r="I73" s="76"/>
      <c r="J73" s="82"/>
      <c r="K73" s="48"/>
      <c r="L73" s="44"/>
      <c r="M73" s="44"/>
      <c r="N73" s="44"/>
      <c r="O73" s="33"/>
      <c r="P73" s="32"/>
      <c r="Q73" s="39"/>
    </row>
    <row r="74" spans="1:17" ht="20.100000000000001" customHeight="1">
      <c r="A74" s="296"/>
      <c r="B74" s="37"/>
      <c r="C74" s="32"/>
      <c r="D74" s="32"/>
      <c r="E74" s="32"/>
      <c r="F74" s="32"/>
      <c r="G74" s="33"/>
      <c r="H74" s="33"/>
      <c r="I74" s="74"/>
      <c r="J74" s="81"/>
      <c r="K74" s="49" t="s">
        <v>70</v>
      </c>
      <c r="L74" s="50"/>
      <c r="M74" s="50"/>
      <c r="N74" s="50"/>
      <c r="O74" s="236">
        <f>SUM(O67:O72)</f>
        <v>3600</v>
      </c>
      <c r="P74" s="232">
        <f>P67</f>
        <v>3600</v>
      </c>
      <c r="Q74" s="232">
        <f>O74+P74</f>
        <v>7200</v>
      </c>
    </row>
    <row r="75" spans="1:17" ht="20.100000000000001" customHeight="1">
      <c r="A75" s="296"/>
      <c r="B75" s="37"/>
      <c r="C75" s="32"/>
      <c r="D75" s="32"/>
      <c r="E75" s="32"/>
      <c r="F75" s="32"/>
      <c r="G75" s="233">
        <f>SUM(G67:G74)</f>
        <v>3600</v>
      </c>
      <c r="H75" s="233">
        <f>SUM(H67:H74)</f>
        <v>4906</v>
      </c>
      <c r="I75" s="238">
        <f>SUM(I67:I74)</f>
        <v>8506</v>
      </c>
      <c r="J75" s="81"/>
      <c r="K75" s="49" t="s">
        <v>39</v>
      </c>
      <c r="L75" s="50"/>
      <c r="M75" s="50"/>
      <c r="N75" s="50"/>
      <c r="O75" s="237">
        <v>0</v>
      </c>
      <c r="P75" s="233">
        <f>I67+I69-I71-P74</f>
        <v>1306</v>
      </c>
      <c r="Q75" s="233">
        <f>I75-Q74</f>
        <v>1306</v>
      </c>
    </row>
    <row r="76" spans="1:17" ht="20.100000000000001" customHeight="1">
      <c r="A76" s="296"/>
      <c r="B76" s="37"/>
      <c r="C76" s="32"/>
      <c r="D76" s="32"/>
      <c r="E76" s="32"/>
      <c r="F76" s="32"/>
      <c r="G76" s="32"/>
      <c r="H76" s="32"/>
      <c r="I76" s="78"/>
      <c r="J76" s="81"/>
      <c r="K76" s="49" t="s">
        <v>40</v>
      </c>
      <c r="L76" s="50"/>
      <c r="M76" s="50"/>
      <c r="N76" s="50"/>
      <c r="O76" s="235">
        <f>O74</f>
        <v>3600</v>
      </c>
      <c r="P76" s="234">
        <f>P74+P75</f>
        <v>4906</v>
      </c>
      <c r="Q76" s="234">
        <f>Q74+Q75</f>
        <v>8506</v>
      </c>
    </row>
    <row r="77" spans="1:17" ht="46.5" customHeight="1">
      <c r="A77" s="296"/>
      <c r="B77" s="63"/>
      <c r="C77" s="63"/>
      <c r="D77" s="32"/>
      <c r="E77" s="32"/>
      <c r="F77" s="32"/>
      <c r="G77" s="32"/>
      <c r="H77" s="32"/>
      <c r="I77" s="78"/>
      <c r="J77" s="80"/>
      <c r="K77" s="32"/>
      <c r="L77" s="32"/>
      <c r="M77" s="32"/>
      <c r="N77" s="32"/>
      <c r="O77" s="32"/>
      <c r="P77" s="32"/>
      <c r="Q77" s="32"/>
    </row>
    <row r="78" spans="1:17" ht="45" customHeight="1">
      <c r="A78" s="296"/>
      <c r="B78" s="57" t="s">
        <v>266</v>
      </c>
      <c r="C78" s="25" t="s">
        <v>26</v>
      </c>
      <c r="D78" s="32"/>
      <c r="E78" s="32"/>
      <c r="F78" s="32"/>
      <c r="G78" s="33">
        <v>0</v>
      </c>
      <c r="H78" s="33">
        <f>P75</f>
        <v>1306</v>
      </c>
      <c r="I78" s="74">
        <f>G78+H78</f>
        <v>1306</v>
      </c>
      <c r="J78" s="80" t="str">
        <f>B78</f>
        <v>29/07/2024</v>
      </c>
      <c r="K78" s="60" t="s">
        <v>38</v>
      </c>
      <c r="L78" s="32"/>
      <c r="M78" s="32"/>
      <c r="N78" s="32"/>
      <c r="O78" s="33">
        <v>0</v>
      </c>
      <c r="P78" s="33">
        <v>0</v>
      </c>
      <c r="Q78" s="33">
        <f>P78</f>
        <v>0</v>
      </c>
    </row>
    <row r="79" spans="1:17" ht="17.100000000000001" customHeight="1">
      <c r="A79" s="296"/>
      <c r="B79" s="37"/>
      <c r="C79" s="48"/>
      <c r="D79" s="32"/>
      <c r="E79" s="32"/>
      <c r="F79" s="32"/>
      <c r="G79" s="33"/>
      <c r="H79" s="46"/>
      <c r="I79" s="137"/>
      <c r="J79" s="81"/>
      <c r="K79" s="32"/>
      <c r="L79" s="32"/>
      <c r="M79" s="32"/>
      <c r="N79" s="32"/>
      <c r="O79" s="33"/>
      <c r="P79" s="33"/>
      <c r="Q79" s="39"/>
    </row>
    <row r="80" spans="1:17" ht="17.100000000000001" customHeight="1">
      <c r="A80" s="296"/>
      <c r="B80" s="37"/>
      <c r="C80" s="62" t="s">
        <v>201</v>
      </c>
      <c r="D80" s="40"/>
      <c r="E80" s="40"/>
      <c r="F80" s="40"/>
      <c r="G80" s="40"/>
      <c r="H80" s="41">
        <v>1040</v>
      </c>
      <c r="I80" s="75">
        <f>H80</f>
        <v>1040</v>
      </c>
      <c r="J80" s="81"/>
      <c r="K80" s="32"/>
      <c r="L80" s="32"/>
      <c r="M80" s="32"/>
      <c r="N80" s="32"/>
      <c r="O80" s="46"/>
      <c r="P80" s="44"/>
      <c r="Q80" s="67"/>
    </row>
    <row r="81" spans="1:17" ht="17.100000000000001" customHeight="1">
      <c r="A81" s="296"/>
      <c r="B81" s="37"/>
      <c r="C81" s="48"/>
      <c r="D81" s="32"/>
      <c r="E81" s="32"/>
      <c r="F81" s="32"/>
      <c r="G81" s="46"/>
      <c r="H81" s="46"/>
      <c r="I81" s="76"/>
      <c r="J81" s="81"/>
      <c r="K81" s="32"/>
      <c r="L81" s="32"/>
      <c r="M81" s="32"/>
      <c r="N81" s="32"/>
      <c r="O81" s="46"/>
      <c r="P81" s="44"/>
      <c r="Q81" s="67"/>
    </row>
    <row r="82" spans="1:17" ht="20.100000000000001" customHeight="1">
      <c r="A82" s="296"/>
      <c r="B82" s="37"/>
      <c r="C82" s="48"/>
      <c r="D82" s="32"/>
      <c r="E82" s="32"/>
      <c r="F82" s="32"/>
      <c r="G82" s="33"/>
      <c r="H82" s="33"/>
      <c r="I82" s="74"/>
      <c r="J82" s="81"/>
      <c r="K82" s="49" t="s">
        <v>70</v>
      </c>
      <c r="L82" s="32"/>
      <c r="M82" s="32"/>
      <c r="N82" s="32"/>
      <c r="O82" s="232">
        <f>SUM(O78:O81)</f>
        <v>0</v>
      </c>
      <c r="P82" s="232">
        <f>P78+O80-O82</f>
        <v>0</v>
      </c>
      <c r="Q82" s="232">
        <f>O82+P82</f>
        <v>0</v>
      </c>
    </row>
    <row r="83" spans="1:17" ht="20.100000000000001" customHeight="1">
      <c r="A83" s="296"/>
      <c r="B83" s="37"/>
      <c r="C83" s="32"/>
      <c r="D83" s="32"/>
      <c r="E83" s="32"/>
      <c r="F83" s="32"/>
      <c r="G83" s="233">
        <f>SUM(G78:G82)</f>
        <v>0</v>
      </c>
      <c r="H83" s="233">
        <f>SUM(H78:H82)</f>
        <v>2346</v>
      </c>
      <c r="I83" s="238">
        <f>SUM(I78:I82)</f>
        <v>2346</v>
      </c>
      <c r="J83" s="81"/>
      <c r="K83" s="49" t="s">
        <v>39</v>
      </c>
      <c r="L83" s="32"/>
      <c r="M83" s="32"/>
      <c r="N83" s="32"/>
      <c r="O83" s="233">
        <v>0</v>
      </c>
      <c r="P83" s="233">
        <f>H83-P82</f>
        <v>2346</v>
      </c>
      <c r="Q83" s="233">
        <f>I83-Q82</f>
        <v>2346</v>
      </c>
    </row>
    <row r="84" spans="1:17" ht="20.100000000000001" customHeight="1">
      <c r="A84" s="296"/>
      <c r="B84" s="37"/>
      <c r="C84" s="32"/>
      <c r="D84" s="32"/>
      <c r="E84" s="32"/>
      <c r="F84" s="32"/>
      <c r="G84" s="32"/>
      <c r="H84" s="32"/>
      <c r="I84" s="78"/>
      <c r="J84" s="81"/>
      <c r="K84" s="49" t="s">
        <v>40</v>
      </c>
      <c r="L84" s="32"/>
      <c r="M84" s="32"/>
      <c r="N84" s="32"/>
      <c r="O84" s="234">
        <f>O82</f>
        <v>0</v>
      </c>
      <c r="P84" s="234">
        <f>P82+P83</f>
        <v>2346</v>
      </c>
      <c r="Q84" s="234">
        <f>Q82+Q83</f>
        <v>2346</v>
      </c>
    </row>
    <row r="85" spans="1:17" ht="42.95" customHeight="1">
      <c r="A85" s="296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</row>
    <row r="86" spans="1:17" ht="42.6" customHeight="1">
      <c r="A86" s="296">
        <f ca="1">A86:Q105</f>
        <v>0</v>
      </c>
      <c r="B86" s="318" t="s">
        <v>259</v>
      </c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</row>
    <row r="87" spans="1:17" ht="43.5" customHeight="1">
      <c r="A87" s="296"/>
      <c r="B87" s="320"/>
      <c r="C87" s="320"/>
      <c r="D87" s="320"/>
      <c r="E87" s="320"/>
      <c r="F87" s="320"/>
      <c r="G87" s="320"/>
      <c r="H87" s="320"/>
      <c r="I87" s="321"/>
      <c r="J87" s="322"/>
      <c r="K87" s="323"/>
      <c r="L87" s="323"/>
      <c r="M87" s="323"/>
      <c r="N87" s="323"/>
      <c r="O87" s="323"/>
      <c r="P87" s="323"/>
      <c r="Q87" s="323"/>
    </row>
    <row r="88" spans="1:17" ht="66" customHeight="1">
      <c r="A88" s="296"/>
      <c r="B88" s="27" t="s">
        <v>19</v>
      </c>
      <c r="C88" s="27" t="s">
        <v>29</v>
      </c>
      <c r="D88" s="28" t="s">
        <v>30</v>
      </c>
      <c r="E88" s="28" t="s">
        <v>31</v>
      </c>
      <c r="F88" s="28" t="s">
        <v>32</v>
      </c>
      <c r="G88" s="27" t="s">
        <v>33</v>
      </c>
      <c r="H88" s="27" t="s">
        <v>34</v>
      </c>
      <c r="I88" s="73" t="s">
        <v>35</v>
      </c>
      <c r="J88" s="79" t="s">
        <v>19</v>
      </c>
      <c r="K88" s="27" t="s">
        <v>69</v>
      </c>
      <c r="L88" s="28" t="s">
        <v>36</v>
      </c>
      <c r="M88" s="28" t="s">
        <v>37</v>
      </c>
      <c r="N88" s="28" t="s">
        <v>32</v>
      </c>
      <c r="O88" s="27" t="s">
        <v>33</v>
      </c>
      <c r="P88" s="27" t="s">
        <v>34</v>
      </c>
      <c r="Q88" s="27" t="s">
        <v>35</v>
      </c>
    </row>
    <row r="89" spans="1:17" ht="45" customHeight="1">
      <c r="A89" s="296"/>
      <c r="B89" s="57">
        <v>45390</v>
      </c>
      <c r="C89" s="25" t="s">
        <v>26</v>
      </c>
      <c r="D89" s="32"/>
      <c r="E89" s="32"/>
      <c r="F89" s="32"/>
      <c r="G89" s="33">
        <v>0</v>
      </c>
      <c r="H89" s="33">
        <f>P83</f>
        <v>2346</v>
      </c>
      <c r="I89" s="74">
        <f>G89+H89</f>
        <v>2346</v>
      </c>
      <c r="J89" s="80">
        <f>B89</f>
        <v>45390</v>
      </c>
      <c r="K89" s="60" t="s">
        <v>38</v>
      </c>
      <c r="L89" s="57"/>
      <c r="M89" s="57"/>
      <c r="N89" s="32"/>
      <c r="O89" s="33">
        <v>0</v>
      </c>
      <c r="P89" s="33">
        <v>0</v>
      </c>
      <c r="Q89" s="33">
        <v>0</v>
      </c>
    </row>
    <row r="90" spans="1:17" ht="17.100000000000001" customHeight="1">
      <c r="A90" s="296"/>
      <c r="B90" s="37"/>
      <c r="C90" s="32"/>
      <c r="D90" s="32"/>
      <c r="E90" s="32"/>
      <c r="F90" s="32"/>
      <c r="G90" s="33"/>
      <c r="H90" s="33"/>
      <c r="I90" s="74"/>
      <c r="J90" s="81"/>
      <c r="K90" s="32"/>
      <c r="L90" s="32"/>
      <c r="M90" s="32"/>
      <c r="N90" s="32"/>
      <c r="O90" s="33"/>
      <c r="P90" s="33"/>
      <c r="Q90" s="39"/>
    </row>
    <row r="91" spans="1:17" ht="17.100000000000001" customHeight="1">
      <c r="A91" s="296"/>
      <c r="B91" s="37"/>
      <c r="C91" s="62" t="s">
        <v>71</v>
      </c>
      <c r="D91" s="40"/>
      <c r="E91" s="40"/>
      <c r="F91" s="40"/>
      <c r="G91" s="40"/>
      <c r="H91" s="41">
        <v>22</v>
      </c>
      <c r="I91" s="75">
        <f>H91</f>
        <v>22</v>
      </c>
      <c r="J91" s="82"/>
      <c r="K91" s="43"/>
      <c r="L91" s="44"/>
      <c r="M91" s="44"/>
      <c r="N91" s="44"/>
      <c r="O91" s="33"/>
      <c r="P91" s="32"/>
      <c r="Q91" s="39"/>
    </row>
    <row r="92" spans="1:17" ht="17.100000000000001" customHeight="1">
      <c r="A92" s="296"/>
      <c r="B92" s="37"/>
      <c r="C92" s="48"/>
      <c r="D92" s="44"/>
      <c r="E92" s="44"/>
      <c r="F92" s="44"/>
      <c r="G92" s="44"/>
      <c r="H92" s="46"/>
      <c r="I92" s="137"/>
      <c r="J92" s="82"/>
      <c r="K92" s="48"/>
      <c r="L92" s="44"/>
      <c r="M92" s="44"/>
      <c r="N92" s="44"/>
      <c r="O92" s="33"/>
      <c r="P92" s="32"/>
      <c r="Q92" s="39"/>
    </row>
    <row r="93" spans="1:17" ht="17.100000000000001" customHeight="1">
      <c r="A93" s="296"/>
      <c r="B93" s="37"/>
      <c r="C93" s="48"/>
      <c r="D93" s="44"/>
      <c r="E93" s="44"/>
      <c r="F93" s="44"/>
      <c r="G93" s="46"/>
      <c r="H93" s="46"/>
      <c r="I93" s="76"/>
      <c r="J93" s="82"/>
      <c r="K93" s="48"/>
      <c r="L93" s="44"/>
      <c r="M93" s="44"/>
      <c r="N93" s="44"/>
      <c r="O93" s="33"/>
      <c r="P93" s="32"/>
      <c r="Q93" s="39"/>
    </row>
    <row r="94" spans="1:17" ht="20.100000000000001" customHeight="1">
      <c r="A94" s="296"/>
      <c r="B94" s="37"/>
      <c r="C94" s="32"/>
      <c r="D94" s="32"/>
      <c r="E94" s="32"/>
      <c r="F94" s="32"/>
      <c r="G94" s="33"/>
      <c r="H94" s="33"/>
      <c r="I94" s="74"/>
      <c r="J94" s="81"/>
      <c r="K94" s="49" t="s">
        <v>70</v>
      </c>
      <c r="L94" s="50"/>
      <c r="M94" s="50"/>
      <c r="N94" s="50"/>
      <c r="O94" s="232">
        <f>SUM(O89:O93)</f>
        <v>0</v>
      </c>
      <c r="P94" s="232">
        <f>P89+O91-O94</f>
        <v>0</v>
      </c>
      <c r="Q94" s="232">
        <f>O94+P94</f>
        <v>0</v>
      </c>
    </row>
    <row r="95" spans="1:17" ht="20.100000000000001" customHeight="1">
      <c r="A95" s="296"/>
      <c r="B95" s="37"/>
      <c r="C95" s="32"/>
      <c r="D95" s="32"/>
      <c r="E95" s="32"/>
      <c r="F95" s="32"/>
      <c r="G95" s="233">
        <f>SUM(G89:G94)</f>
        <v>0</v>
      </c>
      <c r="H95" s="233">
        <f>SUM(H89:H94)</f>
        <v>2368</v>
      </c>
      <c r="I95" s="238">
        <f>SUM(I89:I94)</f>
        <v>2368</v>
      </c>
      <c r="J95" s="81"/>
      <c r="K95" s="49" t="s">
        <v>39</v>
      </c>
      <c r="L95" s="50"/>
      <c r="M95" s="50"/>
      <c r="N95" s="50"/>
      <c r="O95" s="237">
        <v>0</v>
      </c>
      <c r="P95" s="233">
        <f>H95</f>
        <v>2368</v>
      </c>
      <c r="Q95" s="233">
        <f>I95-Q94</f>
        <v>2368</v>
      </c>
    </row>
    <row r="96" spans="1:17" ht="20.100000000000001" customHeight="1">
      <c r="A96" s="296"/>
      <c r="B96" s="37"/>
      <c r="C96" s="32"/>
      <c r="D96" s="32"/>
      <c r="E96" s="32"/>
      <c r="F96" s="32"/>
      <c r="G96" s="32"/>
      <c r="H96" s="32"/>
      <c r="I96" s="78"/>
      <c r="J96" s="81"/>
      <c r="K96" s="49" t="s">
        <v>40</v>
      </c>
      <c r="L96" s="50"/>
      <c r="M96" s="50"/>
      <c r="N96" s="50"/>
      <c r="O96" s="234">
        <f>O94</f>
        <v>0</v>
      </c>
      <c r="P96" s="234">
        <f>P94+P95</f>
        <v>2368</v>
      </c>
      <c r="Q96" s="234">
        <f>Q94+Q95</f>
        <v>2368</v>
      </c>
    </row>
    <row r="97" spans="1:17" ht="63.6" customHeight="1">
      <c r="A97" s="296"/>
      <c r="B97" s="63"/>
      <c r="C97" s="63"/>
      <c r="D97" s="32"/>
      <c r="E97" s="32"/>
      <c r="F97" s="32"/>
      <c r="G97" s="32"/>
      <c r="H97" s="32"/>
      <c r="I97" s="78"/>
      <c r="J97" s="80"/>
      <c r="K97" s="32"/>
      <c r="L97" s="32"/>
      <c r="M97" s="32"/>
      <c r="N97" s="32"/>
      <c r="O97" s="32"/>
      <c r="P97" s="32"/>
      <c r="Q97" s="32"/>
    </row>
    <row r="98" spans="1:17" ht="45" customHeight="1">
      <c r="A98" s="296"/>
      <c r="B98" s="57" t="s">
        <v>202</v>
      </c>
      <c r="C98" s="25" t="s">
        <v>26</v>
      </c>
      <c r="D98" s="32"/>
      <c r="E98" s="32"/>
      <c r="F98" s="32"/>
      <c r="G98" s="33">
        <v>0</v>
      </c>
      <c r="H98" s="33">
        <f>P95</f>
        <v>2368</v>
      </c>
      <c r="I98" s="74">
        <f>G98+H98</f>
        <v>2368</v>
      </c>
      <c r="J98" s="80" t="str">
        <f>B98</f>
        <v>16/08/2024</v>
      </c>
      <c r="K98" s="60" t="s">
        <v>38</v>
      </c>
      <c r="L98" s="32"/>
      <c r="M98" s="32"/>
      <c r="N98" s="32"/>
      <c r="O98" s="33">
        <v>0</v>
      </c>
      <c r="P98" s="33">
        <v>0</v>
      </c>
      <c r="Q98" s="33">
        <v>0</v>
      </c>
    </row>
    <row r="99" spans="1:17" ht="20.25" customHeight="1">
      <c r="A99" s="296"/>
      <c r="B99" s="37"/>
      <c r="C99" s="32"/>
      <c r="D99" s="32"/>
      <c r="E99" s="32"/>
      <c r="F99" s="32"/>
      <c r="G99" s="33"/>
      <c r="H99" s="33"/>
      <c r="I99" s="74"/>
      <c r="J99" s="81"/>
      <c r="K99" s="32"/>
      <c r="L99" s="32"/>
      <c r="M99" s="32"/>
      <c r="N99" s="32"/>
      <c r="O99" s="33"/>
      <c r="P99" s="33"/>
      <c r="Q99" s="39"/>
    </row>
    <row r="100" spans="1:17" ht="17.100000000000001" customHeight="1">
      <c r="A100" s="296"/>
      <c r="B100" s="37"/>
      <c r="C100" s="62" t="s">
        <v>203</v>
      </c>
      <c r="D100" s="40"/>
      <c r="E100" s="40"/>
      <c r="F100" s="40"/>
      <c r="G100" s="40"/>
      <c r="H100" s="41">
        <v>1000</v>
      </c>
      <c r="I100" s="75">
        <f>H100</f>
        <v>1000</v>
      </c>
      <c r="J100" s="81"/>
      <c r="K100" s="32"/>
      <c r="L100" s="32"/>
      <c r="M100" s="32"/>
      <c r="N100" s="32"/>
      <c r="O100" s="46"/>
      <c r="P100" s="44"/>
      <c r="Q100" s="67"/>
    </row>
    <row r="101" spans="1:17" ht="17.100000000000001" customHeight="1">
      <c r="A101" s="296"/>
      <c r="B101" s="37"/>
      <c r="C101" s="65"/>
      <c r="D101" s="32"/>
      <c r="E101" s="32"/>
      <c r="F101" s="32"/>
      <c r="G101" s="44"/>
      <c r="H101" s="46"/>
      <c r="I101" s="76"/>
      <c r="J101" s="81"/>
      <c r="K101" s="32"/>
      <c r="L101" s="32"/>
      <c r="M101" s="32"/>
      <c r="N101" s="32"/>
      <c r="O101" s="46"/>
      <c r="P101" s="44"/>
      <c r="Q101" s="67"/>
    </row>
    <row r="102" spans="1:17" ht="17.100000000000001" customHeight="1">
      <c r="A102" s="296"/>
      <c r="B102" s="37"/>
      <c r="C102" s="65"/>
      <c r="D102" s="32"/>
      <c r="E102" s="32"/>
      <c r="F102" s="32"/>
      <c r="G102" s="46"/>
      <c r="H102" s="46"/>
      <c r="I102" s="76"/>
      <c r="J102" s="81"/>
      <c r="K102" s="32"/>
      <c r="L102" s="32"/>
      <c r="M102" s="32"/>
      <c r="N102" s="32"/>
      <c r="O102" s="46"/>
      <c r="P102" s="44"/>
      <c r="Q102" s="67"/>
    </row>
    <row r="103" spans="1:17" ht="17.100000000000001" customHeight="1">
      <c r="A103" s="296"/>
      <c r="B103" s="37"/>
      <c r="C103" s="32"/>
      <c r="D103" s="32"/>
      <c r="E103" s="32"/>
      <c r="F103" s="32"/>
      <c r="G103" s="33"/>
      <c r="H103" s="33"/>
      <c r="I103" s="74"/>
      <c r="J103" s="81"/>
      <c r="K103" s="49" t="s">
        <v>70</v>
      </c>
      <c r="L103" s="32"/>
      <c r="M103" s="32"/>
      <c r="N103" s="32"/>
      <c r="O103" s="232">
        <f>SUM(O98:O102)</f>
        <v>0</v>
      </c>
      <c r="P103" s="232">
        <f>P98+O100-O103</f>
        <v>0</v>
      </c>
      <c r="Q103" s="232">
        <f>O103+P103</f>
        <v>0</v>
      </c>
    </row>
    <row r="104" spans="1:17" ht="20.100000000000001" customHeight="1">
      <c r="A104" s="296"/>
      <c r="B104" s="37"/>
      <c r="C104" s="32"/>
      <c r="D104" s="32"/>
      <c r="E104" s="32"/>
      <c r="F104" s="32"/>
      <c r="G104" s="233">
        <f>SUM(G98:G103)</f>
        <v>0</v>
      </c>
      <c r="H104" s="233">
        <f>SUM(H98:H103)</f>
        <v>3368</v>
      </c>
      <c r="I104" s="238">
        <f>SUM(I98:I103)</f>
        <v>3368</v>
      </c>
      <c r="J104" s="81"/>
      <c r="K104" s="49" t="s">
        <v>39</v>
      </c>
      <c r="L104" s="32"/>
      <c r="M104" s="32"/>
      <c r="N104" s="32"/>
      <c r="O104" s="233">
        <v>0</v>
      </c>
      <c r="P104" s="233">
        <f>I98+I100-I102-P103</f>
        <v>3368</v>
      </c>
      <c r="Q104" s="233">
        <f>I104-Q103</f>
        <v>3368</v>
      </c>
    </row>
    <row r="105" spans="1:17" ht="20.100000000000001" customHeight="1">
      <c r="A105" s="296"/>
      <c r="B105" s="37"/>
      <c r="C105" s="32"/>
      <c r="D105" s="32"/>
      <c r="E105" s="32"/>
      <c r="F105" s="32"/>
      <c r="G105" s="32"/>
      <c r="H105" s="32"/>
      <c r="I105" s="78"/>
      <c r="J105" s="81"/>
      <c r="K105" s="49" t="s">
        <v>40</v>
      </c>
      <c r="L105" s="32"/>
      <c r="M105" s="32"/>
      <c r="N105" s="32"/>
      <c r="O105" s="234">
        <f>O103</f>
        <v>0</v>
      </c>
      <c r="P105" s="234">
        <f>P103+P104</f>
        <v>3368</v>
      </c>
      <c r="Q105" s="234">
        <f>Q103+Q104</f>
        <v>3368</v>
      </c>
    </row>
    <row r="106" spans="1:17" ht="42.95" customHeight="1">
      <c r="A106" s="296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</row>
    <row r="107" spans="1:17" ht="42.6" customHeight="1">
      <c r="A107" s="296">
        <f ca="1">A107:Q126</f>
        <v>0</v>
      </c>
      <c r="B107" s="318" t="s">
        <v>259</v>
      </c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</row>
    <row r="108" spans="1:17" ht="43.5" customHeight="1">
      <c r="A108" s="296"/>
      <c r="B108" s="320"/>
      <c r="C108" s="320"/>
      <c r="D108" s="320"/>
      <c r="E108" s="320"/>
      <c r="F108" s="320"/>
      <c r="G108" s="320"/>
      <c r="H108" s="320"/>
      <c r="I108" s="321"/>
      <c r="J108" s="322"/>
      <c r="K108" s="323"/>
      <c r="L108" s="323"/>
      <c r="M108" s="323"/>
      <c r="N108" s="323"/>
      <c r="O108" s="323"/>
      <c r="P108" s="323"/>
      <c r="Q108" s="323"/>
    </row>
    <row r="109" spans="1:17" ht="66" customHeight="1">
      <c r="A109" s="296"/>
      <c r="B109" s="27" t="s">
        <v>19</v>
      </c>
      <c r="C109" s="27" t="s">
        <v>29</v>
      </c>
      <c r="D109" s="28" t="s">
        <v>30</v>
      </c>
      <c r="E109" s="28" t="s">
        <v>31</v>
      </c>
      <c r="F109" s="28" t="s">
        <v>32</v>
      </c>
      <c r="G109" s="27" t="s">
        <v>33</v>
      </c>
      <c r="H109" s="27" t="s">
        <v>34</v>
      </c>
      <c r="I109" s="73" t="s">
        <v>35</v>
      </c>
      <c r="J109" s="79" t="s">
        <v>19</v>
      </c>
      <c r="K109" s="27" t="s">
        <v>69</v>
      </c>
      <c r="L109" s="28" t="s">
        <v>36</v>
      </c>
      <c r="M109" s="28" t="s">
        <v>37</v>
      </c>
      <c r="N109" s="28" t="s">
        <v>32</v>
      </c>
      <c r="O109" s="27" t="s">
        <v>33</v>
      </c>
      <c r="P109" s="27" t="s">
        <v>34</v>
      </c>
      <c r="Q109" s="27" t="s">
        <v>35</v>
      </c>
    </row>
    <row r="110" spans="1:17" ht="45" customHeight="1">
      <c r="A110" s="296"/>
      <c r="B110" s="57" t="s">
        <v>204</v>
      </c>
      <c r="C110" s="25" t="s">
        <v>26</v>
      </c>
      <c r="D110" s="32"/>
      <c r="E110" s="32"/>
      <c r="F110" s="32"/>
      <c r="G110" s="33">
        <v>0</v>
      </c>
      <c r="H110" s="33">
        <f>P104</f>
        <v>3368</v>
      </c>
      <c r="I110" s="74">
        <f>G110+H110</f>
        <v>3368</v>
      </c>
      <c r="J110" s="80" t="str">
        <f>B110</f>
        <v>13/09/2024</v>
      </c>
      <c r="K110" s="60" t="s">
        <v>38</v>
      </c>
      <c r="L110" s="129"/>
      <c r="M110" s="126"/>
      <c r="N110" s="32"/>
      <c r="O110" s="33">
        <v>0</v>
      </c>
      <c r="P110" s="33">
        <v>0</v>
      </c>
      <c r="Q110" s="33">
        <f>P110</f>
        <v>0</v>
      </c>
    </row>
    <row r="111" spans="1:17" ht="17.100000000000001" customHeight="1">
      <c r="A111" s="296"/>
      <c r="B111" s="37"/>
      <c r="C111" s="32"/>
      <c r="D111" s="32"/>
      <c r="E111" s="32"/>
      <c r="F111" s="32"/>
      <c r="G111" s="33"/>
      <c r="H111" s="33"/>
      <c r="I111" s="74"/>
      <c r="J111" s="81"/>
      <c r="K111" s="128"/>
      <c r="L111" s="83"/>
      <c r="M111" s="44"/>
      <c r="N111" s="32"/>
      <c r="O111" s="33"/>
      <c r="P111" s="33"/>
      <c r="Q111" s="39"/>
    </row>
    <row r="112" spans="1:17" ht="17.100000000000001" customHeight="1">
      <c r="A112" s="296"/>
      <c r="B112" s="37"/>
      <c r="C112" s="231" t="s">
        <v>214</v>
      </c>
      <c r="D112" s="32"/>
      <c r="E112" s="32"/>
      <c r="F112" s="32"/>
      <c r="G112" s="40"/>
      <c r="H112" s="41">
        <v>1400</v>
      </c>
      <c r="I112" s="75">
        <f>H112</f>
        <v>1400</v>
      </c>
      <c r="J112" s="82"/>
      <c r="K112" s="128"/>
      <c r="L112" s="83"/>
      <c r="M112" s="44"/>
      <c r="N112" s="44"/>
      <c r="O112" s="46"/>
      <c r="P112" s="44"/>
      <c r="Q112" s="67"/>
    </row>
    <row r="113" spans="1:17" ht="17.100000000000001" customHeight="1">
      <c r="A113" s="296"/>
      <c r="B113" s="37"/>
      <c r="C113" s="44"/>
      <c r="D113" s="44"/>
      <c r="E113" s="44"/>
      <c r="F113" s="44"/>
      <c r="G113" s="44"/>
      <c r="H113" s="46"/>
      <c r="I113" s="76"/>
      <c r="J113" s="82"/>
      <c r="K113" s="65"/>
      <c r="L113" s="83"/>
      <c r="M113" s="44"/>
      <c r="N113" s="44"/>
      <c r="O113" s="46"/>
      <c r="P113" s="44"/>
      <c r="Q113" s="67"/>
    </row>
    <row r="114" spans="1:17" ht="17.100000000000001" customHeight="1">
      <c r="A114" s="296"/>
      <c r="B114" s="37"/>
      <c r="C114" s="48"/>
      <c r="D114" s="44"/>
      <c r="E114" s="44"/>
      <c r="F114" s="44"/>
      <c r="G114" s="45">
        <v>0</v>
      </c>
      <c r="H114" s="45">
        <v>0</v>
      </c>
      <c r="I114" s="77">
        <f>G114+H114</f>
        <v>0</v>
      </c>
      <c r="J114" s="82"/>
      <c r="K114" s="66"/>
      <c r="L114" s="83"/>
      <c r="M114" s="44"/>
      <c r="N114" s="44"/>
      <c r="O114" s="46"/>
      <c r="P114" s="44"/>
      <c r="Q114" s="67"/>
    </row>
    <row r="115" spans="1:17" ht="20.100000000000001" customHeight="1">
      <c r="A115" s="296"/>
      <c r="B115" s="37"/>
      <c r="C115" s="32"/>
      <c r="D115" s="32"/>
      <c r="E115" s="32"/>
      <c r="F115" s="32"/>
      <c r="G115" s="33"/>
      <c r="H115" s="33"/>
      <c r="I115" s="74"/>
      <c r="J115" s="81"/>
      <c r="K115" s="49" t="s">
        <v>70</v>
      </c>
      <c r="L115" s="50"/>
      <c r="M115" s="50"/>
      <c r="N115" s="50"/>
      <c r="O115" s="232">
        <f>SUM(O110:O114)</f>
        <v>0</v>
      </c>
      <c r="P115" s="232">
        <f>P110+O112+O111+O113+O114-O115</f>
        <v>0</v>
      </c>
      <c r="Q115" s="232">
        <f>O115+P115</f>
        <v>0</v>
      </c>
    </row>
    <row r="116" spans="1:17" ht="20.100000000000001" customHeight="1">
      <c r="A116" s="296"/>
      <c r="B116" s="37"/>
      <c r="C116" s="32"/>
      <c r="D116" s="32"/>
      <c r="E116" s="32"/>
      <c r="F116" s="32"/>
      <c r="G116" s="233">
        <f>SUM(G110:G115)</f>
        <v>0</v>
      </c>
      <c r="H116" s="233">
        <f>SUM(H110:H115)</f>
        <v>4768</v>
      </c>
      <c r="I116" s="238">
        <f>SUM(I110:I115)</f>
        <v>4768</v>
      </c>
      <c r="J116" s="81"/>
      <c r="K116" s="49" t="s">
        <v>39</v>
      </c>
      <c r="L116" s="50"/>
      <c r="M116" s="50"/>
      <c r="N116" s="50"/>
      <c r="O116" s="237">
        <v>0</v>
      </c>
      <c r="P116" s="233">
        <f>H116-P115</f>
        <v>4768</v>
      </c>
      <c r="Q116" s="233">
        <f>I116-Q115</f>
        <v>4768</v>
      </c>
    </row>
    <row r="117" spans="1:17" ht="20.100000000000001" customHeight="1">
      <c r="A117" s="296"/>
      <c r="B117" s="37"/>
      <c r="C117" s="32"/>
      <c r="D117" s="32"/>
      <c r="E117" s="32"/>
      <c r="F117" s="32"/>
      <c r="G117" s="32"/>
      <c r="H117" s="32"/>
      <c r="I117" s="78"/>
      <c r="J117" s="81"/>
      <c r="K117" s="49" t="s">
        <v>40</v>
      </c>
      <c r="L117" s="50"/>
      <c r="M117" s="50"/>
      <c r="N117" s="50"/>
      <c r="O117" s="234">
        <f>O115</f>
        <v>0</v>
      </c>
      <c r="P117" s="234">
        <f>P115+P116</f>
        <v>4768</v>
      </c>
      <c r="Q117" s="234">
        <f>Q115+Q116</f>
        <v>4768</v>
      </c>
    </row>
    <row r="118" spans="1:17" ht="63.6" customHeight="1">
      <c r="A118" s="296"/>
      <c r="B118" s="63"/>
      <c r="C118" s="63"/>
      <c r="D118" s="32"/>
      <c r="E118" s="32"/>
      <c r="F118" s="32"/>
      <c r="G118" s="32"/>
      <c r="H118" s="32"/>
      <c r="I118" s="78"/>
      <c r="J118" s="80"/>
      <c r="K118" s="32"/>
      <c r="L118" s="32"/>
      <c r="M118" s="32"/>
      <c r="N118" s="32"/>
      <c r="O118" s="32"/>
      <c r="P118" s="32"/>
      <c r="Q118" s="32"/>
    </row>
    <row r="119" spans="1:17" ht="45" customHeight="1">
      <c r="A119" s="296"/>
      <c r="B119" s="57" t="s">
        <v>268</v>
      </c>
      <c r="C119" s="25" t="s">
        <v>26</v>
      </c>
      <c r="D119" s="32"/>
      <c r="E119" s="32"/>
      <c r="F119" s="32"/>
      <c r="G119" s="46">
        <v>0</v>
      </c>
      <c r="H119" s="46">
        <f>P116</f>
        <v>4768</v>
      </c>
      <c r="I119" s="76">
        <f>G119+H119</f>
        <v>4768</v>
      </c>
      <c r="J119" s="80" t="str">
        <f>B119</f>
        <v>18/10/2024</v>
      </c>
      <c r="K119" s="288" t="s">
        <v>267</v>
      </c>
      <c r="L119" s="129" t="s">
        <v>269</v>
      </c>
      <c r="M119" s="126" t="s">
        <v>270</v>
      </c>
      <c r="N119" s="32"/>
      <c r="O119" s="46">
        <v>0</v>
      </c>
      <c r="P119" s="46">
        <v>2940</v>
      </c>
      <c r="Q119" s="46">
        <f>P119</f>
        <v>2940</v>
      </c>
    </row>
    <row r="120" spans="1:17" ht="17.100000000000001" customHeight="1">
      <c r="A120" s="296"/>
      <c r="B120" s="37"/>
      <c r="C120" s="32"/>
      <c r="D120" s="32"/>
      <c r="E120" s="32"/>
      <c r="F120" s="32"/>
      <c r="G120" s="33"/>
      <c r="H120" s="33"/>
      <c r="I120" s="74"/>
      <c r="J120" s="81"/>
      <c r="K120" s="289" t="s">
        <v>101</v>
      </c>
      <c r="L120" s="32"/>
      <c r="M120" s="32"/>
      <c r="N120" s="32"/>
      <c r="O120" s="33"/>
      <c r="P120" s="33"/>
      <c r="Q120" s="39"/>
    </row>
    <row r="121" spans="1:17" ht="17.100000000000001" customHeight="1">
      <c r="A121" s="296"/>
      <c r="B121" s="37"/>
      <c r="C121" s="231"/>
      <c r="D121" s="32"/>
      <c r="E121" s="32"/>
      <c r="F121" s="32"/>
      <c r="G121" s="40"/>
      <c r="H121" s="41"/>
      <c r="I121" s="75"/>
      <c r="J121" s="81"/>
      <c r="K121" s="289" t="s">
        <v>271</v>
      </c>
      <c r="L121" s="290" t="s">
        <v>274</v>
      </c>
      <c r="M121" s="32"/>
      <c r="N121" s="32"/>
      <c r="O121" s="220">
        <v>1040</v>
      </c>
      <c r="P121" s="44"/>
      <c r="Q121" s="67">
        <f>O121</f>
        <v>1040</v>
      </c>
    </row>
    <row r="122" spans="1:17" ht="17.100000000000001" customHeight="1">
      <c r="A122" s="296"/>
      <c r="B122" s="37"/>
      <c r="C122" s="32"/>
      <c r="D122" s="32"/>
      <c r="E122" s="32"/>
      <c r="F122" s="32"/>
      <c r="G122" s="44"/>
      <c r="H122" s="46"/>
      <c r="I122" s="76"/>
      <c r="J122" s="81"/>
      <c r="K122" s="128" t="s">
        <v>273</v>
      </c>
      <c r="L122" s="290" t="s">
        <v>275</v>
      </c>
      <c r="M122" s="32"/>
      <c r="N122" s="32"/>
      <c r="O122" s="220">
        <v>500</v>
      </c>
      <c r="P122" s="44"/>
      <c r="Q122" s="67">
        <f t="shared" ref="Q122:Q123" si="1">O122</f>
        <v>500</v>
      </c>
    </row>
    <row r="123" spans="1:17" ht="17.100000000000001" customHeight="1">
      <c r="A123" s="296"/>
      <c r="B123" s="37"/>
      <c r="C123" s="230" t="s">
        <v>114</v>
      </c>
      <c r="D123" s="44"/>
      <c r="E123" s="44"/>
      <c r="F123" s="44"/>
      <c r="G123" s="46">
        <v>2940</v>
      </c>
      <c r="H123" s="46"/>
      <c r="I123" s="76">
        <f>G123</f>
        <v>2940</v>
      </c>
      <c r="J123" s="81"/>
      <c r="K123" s="289" t="s">
        <v>272</v>
      </c>
      <c r="L123" s="290" t="s">
        <v>321</v>
      </c>
      <c r="M123" s="32"/>
      <c r="N123" s="32"/>
      <c r="O123" s="220">
        <v>1400</v>
      </c>
      <c r="P123" s="44"/>
      <c r="Q123" s="67">
        <f t="shared" si="1"/>
        <v>1400</v>
      </c>
    </row>
    <row r="124" spans="1:17" ht="20.100000000000001" customHeight="1">
      <c r="A124" s="296"/>
      <c r="B124" s="37"/>
      <c r="C124" s="32"/>
      <c r="D124" s="32"/>
      <c r="E124" s="32"/>
      <c r="F124" s="32"/>
      <c r="G124" s="33"/>
      <c r="H124" s="33"/>
      <c r="I124" s="74"/>
      <c r="J124" s="81"/>
      <c r="K124" s="49" t="s">
        <v>70</v>
      </c>
      <c r="L124" s="32"/>
      <c r="M124" s="32"/>
      <c r="N124" s="32"/>
      <c r="O124" s="236">
        <f>SUM(O119:O123)</f>
        <v>2940</v>
      </c>
      <c r="P124" s="232">
        <f>P119</f>
        <v>2940</v>
      </c>
      <c r="Q124" s="232">
        <f>O124+P124</f>
        <v>5880</v>
      </c>
    </row>
    <row r="125" spans="1:17" ht="20.100000000000001" customHeight="1">
      <c r="A125" s="296"/>
      <c r="B125" s="37"/>
      <c r="C125" s="32"/>
      <c r="D125" s="32"/>
      <c r="E125" s="32"/>
      <c r="F125" s="32"/>
      <c r="G125" s="233">
        <f>SUM(G119:G124)</f>
        <v>2940</v>
      </c>
      <c r="H125" s="233">
        <f>SUM(H119:H124)</f>
        <v>4768</v>
      </c>
      <c r="I125" s="238">
        <f>SUM(I119:I124)</f>
        <v>7708</v>
      </c>
      <c r="J125" s="81"/>
      <c r="K125" s="49" t="s">
        <v>39</v>
      </c>
      <c r="L125" s="32"/>
      <c r="M125" s="32"/>
      <c r="N125" s="32"/>
      <c r="O125" s="233">
        <v>0</v>
      </c>
      <c r="P125" s="233">
        <f>H125-P124</f>
        <v>1828</v>
      </c>
      <c r="Q125" s="233">
        <f>I125-Q124</f>
        <v>1828</v>
      </c>
    </row>
    <row r="126" spans="1:17" ht="20.100000000000001" customHeight="1">
      <c r="A126" s="296"/>
      <c r="B126" s="37"/>
      <c r="C126" s="32"/>
      <c r="D126" s="32"/>
      <c r="E126" s="32"/>
      <c r="F126" s="32"/>
      <c r="G126" s="32"/>
      <c r="H126" s="32"/>
      <c r="I126" s="78"/>
      <c r="J126" s="81"/>
      <c r="K126" s="49" t="s">
        <v>40</v>
      </c>
      <c r="L126" s="32"/>
      <c r="M126" s="32"/>
      <c r="N126" s="32"/>
      <c r="O126" s="235">
        <f>O124</f>
        <v>2940</v>
      </c>
      <c r="P126" s="234">
        <f>P124+P125</f>
        <v>4768</v>
      </c>
      <c r="Q126" s="234">
        <f>Q124+Q125</f>
        <v>7708</v>
      </c>
    </row>
    <row r="127" spans="1:17" ht="42.95" customHeight="1">
      <c r="A127" s="296"/>
      <c r="B127" s="8"/>
      <c r="C127" s="8"/>
      <c r="D127" s="8"/>
      <c r="E127" s="8"/>
      <c r="F127" s="8"/>
      <c r="G127" s="8"/>
      <c r="H127" s="8"/>
      <c r="I127" s="8"/>
      <c r="J127" s="8"/>
      <c r="K127" s="128"/>
      <c r="L127" s="8"/>
      <c r="M127" s="8"/>
      <c r="N127" s="8"/>
      <c r="O127" s="8"/>
      <c r="P127" s="8"/>
      <c r="Q127" s="8"/>
    </row>
    <row r="128" spans="1:17" ht="42.6" customHeight="1">
      <c r="A128" s="296">
        <f ca="1">A128:Q148</f>
        <v>0</v>
      </c>
      <c r="B128" s="318" t="s">
        <v>259</v>
      </c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</row>
    <row r="129" spans="1:17" ht="43.5" customHeight="1">
      <c r="A129" s="296"/>
      <c r="B129" s="320"/>
      <c r="C129" s="320"/>
      <c r="D129" s="320"/>
      <c r="E129" s="320"/>
      <c r="F129" s="320"/>
      <c r="G129" s="320"/>
      <c r="H129" s="320"/>
      <c r="I129" s="321"/>
      <c r="J129" s="322"/>
      <c r="K129" s="323"/>
      <c r="L129" s="323"/>
      <c r="M129" s="323"/>
      <c r="N129" s="323"/>
      <c r="O129" s="323"/>
      <c r="P129" s="323"/>
      <c r="Q129" s="323"/>
    </row>
    <row r="130" spans="1:17" ht="66" customHeight="1">
      <c r="A130" s="296"/>
      <c r="B130" s="27" t="s">
        <v>19</v>
      </c>
      <c r="C130" s="27" t="s">
        <v>29</v>
      </c>
      <c r="D130" s="28" t="s">
        <v>30</v>
      </c>
      <c r="E130" s="28" t="s">
        <v>31</v>
      </c>
      <c r="F130" s="28" t="s">
        <v>32</v>
      </c>
      <c r="G130" s="27" t="s">
        <v>33</v>
      </c>
      <c r="H130" s="27" t="s">
        <v>34</v>
      </c>
      <c r="I130" s="73" t="s">
        <v>35</v>
      </c>
      <c r="J130" s="79" t="s">
        <v>19</v>
      </c>
      <c r="K130" s="27" t="s">
        <v>69</v>
      </c>
      <c r="L130" s="28" t="s">
        <v>36</v>
      </c>
      <c r="M130" s="28" t="s">
        <v>37</v>
      </c>
      <c r="N130" s="28" t="s">
        <v>32</v>
      </c>
      <c r="O130" s="27" t="s">
        <v>33</v>
      </c>
      <c r="P130" s="27" t="s">
        <v>34</v>
      </c>
      <c r="Q130" s="27" t="s">
        <v>35</v>
      </c>
    </row>
    <row r="131" spans="1:17" ht="45" customHeight="1">
      <c r="A131" s="296"/>
      <c r="B131" s="57" t="s">
        <v>215</v>
      </c>
      <c r="C131" s="25" t="s">
        <v>26</v>
      </c>
      <c r="D131" s="32"/>
      <c r="E131" s="32"/>
      <c r="F131" s="32"/>
      <c r="G131" s="33">
        <v>0</v>
      </c>
      <c r="H131" s="46">
        <f>P125</f>
        <v>1828</v>
      </c>
      <c r="I131" s="76">
        <f>G131+H131</f>
        <v>1828</v>
      </c>
      <c r="J131" s="80" t="str">
        <f>B131</f>
        <v>01/10/2024   TO   21/10/2024</v>
      </c>
      <c r="K131" s="60" t="s">
        <v>38</v>
      </c>
      <c r="L131" s="129"/>
      <c r="M131" s="126"/>
      <c r="N131" s="32"/>
      <c r="O131" s="46">
        <v>0</v>
      </c>
      <c r="P131" s="46">
        <v>0</v>
      </c>
      <c r="Q131" s="46">
        <f>P131</f>
        <v>0</v>
      </c>
    </row>
    <row r="132" spans="1:17" ht="17.100000000000001" customHeight="1">
      <c r="A132" s="296"/>
      <c r="B132" s="37"/>
      <c r="C132" s="32"/>
      <c r="D132" s="32"/>
      <c r="E132" s="32"/>
      <c r="F132" s="32"/>
      <c r="G132" s="33"/>
      <c r="H132" s="33"/>
      <c r="I132" s="74"/>
      <c r="J132" s="81"/>
      <c r="K132" s="128"/>
      <c r="L132" s="83"/>
      <c r="M132" s="44"/>
      <c r="N132" s="32"/>
      <c r="O132" s="46"/>
      <c r="P132" s="33"/>
      <c r="Q132" s="67"/>
    </row>
    <row r="133" spans="1:17" ht="17.100000000000001" customHeight="1">
      <c r="A133" s="296"/>
      <c r="B133" s="37"/>
      <c r="C133" s="62"/>
      <c r="D133" s="40"/>
      <c r="E133" s="40"/>
      <c r="F133" s="40"/>
      <c r="G133" s="40"/>
      <c r="H133" s="41"/>
      <c r="I133" s="75"/>
      <c r="J133" s="82"/>
      <c r="K133" s="128"/>
      <c r="L133" s="130"/>
      <c r="M133" s="44"/>
      <c r="N133" s="44"/>
      <c r="O133" s="46"/>
      <c r="P133" s="44"/>
      <c r="Q133" s="67"/>
    </row>
    <row r="134" spans="1:17" ht="17.100000000000001" customHeight="1">
      <c r="A134" s="296"/>
      <c r="B134" s="37"/>
      <c r="C134" s="44"/>
      <c r="D134" s="44"/>
      <c r="E134" s="44"/>
      <c r="F134" s="44"/>
      <c r="G134" s="44"/>
      <c r="H134" s="46"/>
      <c r="I134" s="76"/>
      <c r="J134" s="82"/>
      <c r="K134" s="128"/>
      <c r="L134" s="130"/>
      <c r="M134" s="44"/>
      <c r="N134" s="44"/>
      <c r="O134" s="46"/>
      <c r="P134" s="44"/>
      <c r="Q134" s="67"/>
    </row>
    <row r="135" spans="1:17" ht="17.100000000000001" customHeight="1">
      <c r="A135" s="296"/>
      <c r="B135" s="37"/>
      <c r="C135" s="44"/>
      <c r="D135" s="44"/>
      <c r="E135" s="44"/>
      <c r="F135" s="44"/>
      <c r="G135" s="44"/>
      <c r="H135" s="46"/>
      <c r="I135" s="76"/>
      <c r="J135" s="82"/>
      <c r="K135" s="128"/>
      <c r="L135" s="130"/>
      <c r="M135" s="44"/>
      <c r="N135" s="44"/>
      <c r="O135" s="46"/>
      <c r="P135" s="44"/>
      <c r="Q135" s="67"/>
    </row>
    <row r="136" spans="1:17" ht="17.100000000000001" customHeight="1">
      <c r="A136" s="296"/>
      <c r="B136" s="37"/>
      <c r="C136" s="61"/>
      <c r="D136" s="44"/>
      <c r="E136" s="44"/>
      <c r="F136" s="44"/>
      <c r="G136" s="45"/>
      <c r="H136" s="45"/>
      <c r="I136" s="77"/>
      <c r="J136" s="82"/>
      <c r="K136" s="128"/>
      <c r="L136" s="130"/>
      <c r="M136" s="44"/>
      <c r="N136" s="44"/>
      <c r="O136" s="46"/>
      <c r="P136" s="44"/>
      <c r="Q136" s="67"/>
    </row>
    <row r="137" spans="1:17" ht="20.100000000000001" customHeight="1">
      <c r="A137" s="296"/>
      <c r="B137" s="37"/>
      <c r="C137" s="32"/>
      <c r="D137" s="32"/>
      <c r="E137" s="32"/>
      <c r="F137" s="32"/>
      <c r="G137" s="33"/>
      <c r="H137" s="33"/>
      <c r="I137" s="74"/>
      <c r="J137" s="81"/>
      <c r="K137" s="49" t="s">
        <v>70</v>
      </c>
      <c r="L137" s="50"/>
      <c r="M137" s="50"/>
      <c r="N137" s="50"/>
      <c r="O137" s="236">
        <f>SUM(O131:O136)</f>
        <v>0</v>
      </c>
      <c r="P137" s="232">
        <f>P131</f>
        <v>0</v>
      </c>
      <c r="Q137" s="232">
        <f>O137+P137</f>
        <v>0</v>
      </c>
    </row>
    <row r="138" spans="1:17" ht="20.100000000000001" customHeight="1">
      <c r="A138" s="296"/>
      <c r="B138" s="37"/>
      <c r="C138" s="32"/>
      <c r="D138" s="32"/>
      <c r="E138" s="32"/>
      <c r="F138" s="32"/>
      <c r="G138" s="233">
        <f>SUM(G131:G137)</f>
        <v>0</v>
      </c>
      <c r="H138" s="233">
        <f>SUM(H131:H137)</f>
        <v>1828</v>
      </c>
      <c r="I138" s="238">
        <f>SUM(I131:I137)</f>
        <v>1828</v>
      </c>
      <c r="J138" s="81"/>
      <c r="K138" s="49" t="s">
        <v>39</v>
      </c>
      <c r="L138" s="50"/>
      <c r="M138" s="50"/>
      <c r="N138" s="50"/>
      <c r="O138" s="237">
        <v>0</v>
      </c>
      <c r="P138" s="233">
        <f>H138-P137</f>
        <v>1828</v>
      </c>
      <c r="Q138" s="233">
        <f>I138-Q137</f>
        <v>1828</v>
      </c>
    </row>
    <row r="139" spans="1:17" ht="20.100000000000001" customHeight="1">
      <c r="A139" s="296"/>
      <c r="B139" s="37"/>
      <c r="C139" s="32"/>
      <c r="D139" s="32"/>
      <c r="E139" s="32"/>
      <c r="F139" s="32"/>
      <c r="G139" s="32"/>
      <c r="H139" s="32"/>
      <c r="I139" s="78"/>
      <c r="J139" s="81"/>
      <c r="K139" s="49" t="s">
        <v>40</v>
      </c>
      <c r="L139" s="50"/>
      <c r="M139" s="50"/>
      <c r="N139" s="50"/>
      <c r="O139" s="235">
        <f>O137</f>
        <v>0</v>
      </c>
      <c r="P139" s="234">
        <f>P137+P138</f>
        <v>1828</v>
      </c>
      <c r="Q139" s="234">
        <f>Q137+Q138</f>
        <v>1828</v>
      </c>
    </row>
    <row r="140" spans="1:17" ht="51" customHeight="1">
      <c r="A140" s="296"/>
      <c r="B140" s="63"/>
      <c r="C140" s="63"/>
      <c r="D140" s="32"/>
      <c r="E140" s="32"/>
      <c r="F140" s="32"/>
      <c r="G140" s="32"/>
      <c r="H140" s="32"/>
      <c r="I140" s="78"/>
      <c r="J140" s="80"/>
      <c r="K140" s="32"/>
      <c r="L140" s="32"/>
      <c r="M140" s="32"/>
      <c r="N140" s="32"/>
      <c r="O140" s="32"/>
      <c r="P140" s="32"/>
      <c r="Q140" s="32"/>
    </row>
    <row r="141" spans="1:17" ht="45" customHeight="1">
      <c r="A141" s="296"/>
      <c r="B141" s="57" t="s">
        <v>205</v>
      </c>
      <c r="C141" s="25" t="s">
        <v>26</v>
      </c>
      <c r="D141" s="32"/>
      <c r="E141" s="32"/>
      <c r="F141" s="32"/>
      <c r="G141" s="33">
        <v>0</v>
      </c>
      <c r="H141" s="46">
        <f>P138</f>
        <v>1828</v>
      </c>
      <c r="I141" s="76">
        <f>G141+H141</f>
        <v>1828</v>
      </c>
      <c r="J141" s="80" t="str">
        <f>B141</f>
        <v>22/10/2024</v>
      </c>
      <c r="K141" s="60" t="s">
        <v>38</v>
      </c>
      <c r="L141" s="129"/>
      <c r="M141" s="126"/>
      <c r="N141" s="32"/>
      <c r="O141" s="46">
        <v>0</v>
      </c>
      <c r="P141" s="46">
        <v>0</v>
      </c>
      <c r="Q141" s="46">
        <f>P141</f>
        <v>0</v>
      </c>
    </row>
    <row r="142" spans="1:17" ht="17.100000000000001" customHeight="1">
      <c r="A142" s="296"/>
      <c r="B142" s="37"/>
      <c r="C142" s="32"/>
      <c r="D142" s="32"/>
      <c r="E142" s="32"/>
      <c r="F142" s="32"/>
      <c r="G142" s="33"/>
      <c r="H142" s="33"/>
      <c r="I142" s="74"/>
      <c r="J142" s="81"/>
      <c r="K142" s="128"/>
      <c r="L142" s="83"/>
      <c r="M142" s="44"/>
      <c r="N142" s="32"/>
      <c r="O142" s="46"/>
      <c r="P142" s="33"/>
      <c r="Q142" s="67"/>
    </row>
    <row r="143" spans="1:17" ht="17.100000000000001" customHeight="1">
      <c r="A143" s="296"/>
      <c r="B143" s="37"/>
      <c r="C143" s="62" t="s">
        <v>105</v>
      </c>
      <c r="D143" s="40"/>
      <c r="E143" s="40"/>
      <c r="F143" s="40"/>
      <c r="G143" s="40"/>
      <c r="H143" s="41">
        <v>29225</v>
      </c>
      <c r="I143" s="75">
        <f>H143</f>
        <v>29225</v>
      </c>
      <c r="J143" s="82"/>
      <c r="K143" s="128"/>
      <c r="L143" s="83"/>
      <c r="M143" s="44"/>
      <c r="N143" s="44"/>
      <c r="O143" s="46"/>
      <c r="P143" s="44"/>
      <c r="Q143" s="67"/>
    </row>
    <row r="144" spans="1:17" ht="17.100000000000001" customHeight="1">
      <c r="A144" s="296"/>
      <c r="B144" s="37"/>
      <c r="C144" s="44"/>
      <c r="D144" s="44"/>
      <c r="E144" s="44"/>
      <c r="F144" s="44"/>
      <c r="G144" s="44"/>
      <c r="H144" s="46"/>
      <c r="I144" s="76"/>
      <c r="J144" s="82"/>
      <c r="K144" s="128"/>
      <c r="L144" s="83"/>
      <c r="M144" s="44"/>
      <c r="N144" s="44"/>
      <c r="O144" s="46"/>
      <c r="P144" s="44"/>
      <c r="Q144" s="67"/>
    </row>
    <row r="145" spans="1:19" ht="17.100000000000001" customHeight="1">
      <c r="A145" s="296"/>
      <c r="B145" s="37"/>
      <c r="C145" s="48"/>
      <c r="D145" s="44"/>
      <c r="E145" s="44"/>
      <c r="F145" s="44"/>
      <c r="G145" s="45"/>
      <c r="H145" s="45"/>
      <c r="I145" s="77"/>
      <c r="J145" s="82"/>
      <c r="K145" s="128"/>
      <c r="L145" s="83"/>
      <c r="M145" s="44"/>
      <c r="N145" s="44"/>
      <c r="O145" s="46"/>
      <c r="P145" s="44"/>
      <c r="Q145" s="67"/>
    </row>
    <row r="146" spans="1:19" ht="20.100000000000001" customHeight="1">
      <c r="A146" s="296"/>
      <c r="B146" s="37"/>
      <c r="C146" s="32"/>
      <c r="D146" s="32"/>
      <c r="E146" s="32"/>
      <c r="F146" s="32"/>
      <c r="G146" s="33"/>
      <c r="H146" s="33"/>
      <c r="I146" s="74"/>
      <c r="J146" s="81"/>
      <c r="K146" s="49" t="s">
        <v>70</v>
      </c>
      <c r="L146" s="50"/>
      <c r="M146" s="50"/>
      <c r="N146" s="50"/>
      <c r="O146" s="232">
        <f>SUM(O141:O145)</f>
        <v>0</v>
      </c>
      <c r="P146" s="232">
        <f>P141+O143+O142+O144+O145-O146</f>
        <v>0</v>
      </c>
      <c r="Q146" s="232">
        <f>O146+P146</f>
        <v>0</v>
      </c>
    </row>
    <row r="147" spans="1:19" ht="20.100000000000001" customHeight="1">
      <c r="A147" s="296"/>
      <c r="B147" s="37"/>
      <c r="C147" s="32"/>
      <c r="D147" s="32"/>
      <c r="E147" s="32"/>
      <c r="F147" s="32"/>
      <c r="G147" s="233">
        <f>SUM(G141:G146)</f>
        <v>0</v>
      </c>
      <c r="H147" s="233">
        <f>SUM(H141:H146)</f>
        <v>31053</v>
      </c>
      <c r="I147" s="238">
        <f>SUM(I141:I146)</f>
        <v>31053</v>
      </c>
      <c r="J147" s="81"/>
      <c r="K147" s="49" t="s">
        <v>39</v>
      </c>
      <c r="L147" s="50"/>
      <c r="M147" s="50"/>
      <c r="N147" s="50"/>
      <c r="O147" s="237">
        <v>0</v>
      </c>
      <c r="P147" s="233">
        <f>H147-P146</f>
        <v>31053</v>
      </c>
      <c r="Q147" s="233">
        <f>I147-Q146</f>
        <v>31053</v>
      </c>
    </row>
    <row r="148" spans="1:19" ht="20.100000000000001" customHeight="1">
      <c r="A148" s="296"/>
      <c r="B148" s="37"/>
      <c r="C148" s="32"/>
      <c r="D148" s="32"/>
      <c r="E148" s="32"/>
      <c r="F148" s="32"/>
      <c r="G148" s="32"/>
      <c r="H148" s="32"/>
      <c r="I148" s="78"/>
      <c r="J148" s="81"/>
      <c r="K148" s="49" t="s">
        <v>40</v>
      </c>
      <c r="L148" s="50"/>
      <c r="M148" s="50"/>
      <c r="N148" s="50"/>
      <c r="O148" s="234">
        <f>O146</f>
        <v>0</v>
      </c>
      <c r="P148" s="234">
        <f>P146+P147</f>
        <v>31053</v>
      </c>
      <c r="Q148" s="234">
        <f>Q146+Q147</f>
        <v>31053</v>
      </c>
    </row>
    <row r="149" spans="1:19" ht="42.95" customHeight="1">
      <c r="A149" s="29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spans="1:19" ht="42.6" customHeight="1">
      <c r="A150" s="296">
        <f ca="1">A150:Q171</f>
        <v>0</v>
      </c>
      <c r="B150" s="318" t="s">
        <v>259</v>
      </c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</row>
    <row r="151" spans="1:19" ht="43.5" customHeight="1">
      <c r="A151" s="296"/>
      <c r="B151" s="320"/>
      <c r="C151" s="320"/>
      <c r="D151" s="320"/>
      <c r="E151" s="320"/>
      <c r="F151" s="320"/>
      <c r="G151" s="320"/>
      <c r="H151" s="320"/>
      <c r="I151" s="321"/>
      <c r="J151" s="322"/>
      <c r="K151" s="323"/>
      <c r="L151" s="323"/>
      <c r="M151" s="323"/>
      <c r="N151" s="323"/>
      <c r="O151" s="323"/>
      <c r="P151" s="323"/>
      <c r="Q151" s="323"/>
    </row>
    <row r="152" spans="1:19" ht="66" customHeight="1">
      <c r="A152" s="296"/>
      <c r="B152" s="27" t="s">
        <v>19</v>
      </c>
      <c r="C152" s="27" t="s">
        <v>29</v>
      </c>
      <c r="D152" s="28" t="s">
        <v>30</v>
      </c>
      <c r="E152" s="28" t="s">
        <v>31</v>
      </c>
      <c r="F152" s="28" t="s">
        <v>32</v>
      </c>
      <c r="G152" s="27" t="s">
        <v>33</v>
      </c>
      <c r="H152" s="27" t="s">
        <v>34</v>
      </c>
      <c r="I152" s="73" t="s">
        <v>35</v>
      </c>
      <c r="J152" s="79" t="s">
        <v>19</v>
      </c>
      <c r="K152" s="27" t="s">
        <v>69</v>
      </c>
      <c r="L152" s="28" t="s">
        <v>36</v>
      </c>
      <c r="M152" s="28" t="s">
        <v>37</v>
      </c>
      <c r="N152" s="28" t="s">
        <v>32</v>
      </c>
      <c r="O152" s="27" t="s">
        <v>33</v>
      </c>
      <c r="P152" s="27" t="s">
        <v>34</v>
      </c>
      <c r="Q152" s="27" t="s">
        <v>35</v>
      </c>
      <c r="S152" s="43" t="s">
        <v>212</v>
      </c>
    </row>
    <row r="153" spans="1:19" ht="45" customHeight="1">
      <c r="A153" s="296"/>
      <c r="B153" s="57">
        <v>45362</v>
      </c>
      <c r="C153" s="25" t="s">
        <v>26</v>
      </c>
      <c r="D153" s="32"/>
      <c r="E153" s="32"/>
      <c r="F153" s="32"/>
      <c r="G153" s="33">
        <v>0</v>
      </c>
      <c r="H153" s="46">
        <f>P147</f>
        <v>31053</v>
      </c>
      <c r="I153" s="76">
        <f>G153+H153</f>
        <v>31053</v>
      </c>
      <c r="J153" s="80">
        <f>B153</f>
        <v>45362</v>
      </c>
      <c r="K153" s="60" t="s">
        <v>38</v>
      </c>
      <c r="L153" s="129"/>
      <c r="M153" s="126"/>
      <c r="N153" s="32"/>
      <c r="O153" s="33">
        <v>0</v>
      </c>
      <c r="P153" s="33">
        <v>0</v>
      </c>
      <c r="Q153" s="33">
        <f>P153</f>
        <v>0</v>
      </c>
      <c r="S153" s="43" t="s">
        <v>213</v>
      </c>
    </row>
    <row r="154" spans="1:19" ht="17.100000000000001" customHeight="1">
      <c r="A154" s="296"/>
      <c r="B154" s="37"/>
      <c r="C154" s="32"/>
      <c r="D154" s="32"/>
      <c r="E154" s="32"/>
      <c r="F154" s="32"/>
      <c r="G154" s="33"/>
      <c r="H154" s="33"/>
      <c r="I154" s="74"/>
      <c r="J154" s="81"/>
      <c r="K154" s="135"/>
      <c r="L154" s="130"/>
      <c r="M154" s="44"/>
      <c r="N154" s="32"/>
      <c r="O154" s="138"/>
      <c r="P154" s="33"/>
      <c r="Q154" s="39"/>
    </row>
    <row r="155" spans="1:19" ht="17.100000000000001" customHeight="1">
      <c r="A155" s="296"/>
      <c r="B155" s="37"/>
      <c r="C155" s="62" t="s">
        <v>71</v>
      </c>
      <c r="D155" s="32"/>
      <c r="E155" s="32"/>
      <c r="F155" s="32"/>
      <c r="G155" s="40"/>
      <c r="H155" s="41">
        <v>46</v>
      </c>
      <c r="I155" s="75">
        <f>H155</f>
        <v>46</v>
      </c>
      <c r="J155" s="82"/>
      <c r="K155" s="61"/>
      <c r="L155" s="120"/>
      <c r="M155" s="32"/>
      <c r="N155" s="44"/>
      <c r="O155" s="46"/>
      <c r="P155" s="44"/>
      <c r="Q155" s="67"/>
    </row>
    <row r="156" spans="1:19" ht="17.100000000000001" customHeight="1">
      <c r="A156" s="296"/>
      <c r="B156" s="37"/>
      <c r="C156" s="121"/>
      <c r="D156" s="69"/>
      <c r="E156" s="69"/>
      <c r="F156" s="69"/>
      <c r="G156" s="69"/>
      <c r="H156" s="46"/>
      <c r="I156" s="137"/>
      <c r="J156" s="82"/>
      <c r="K156" s="61"/>
      <c r="L156" s="120"/>
      <c r="M156" s="32"/>
      <c r="N156" s="44"/>
      <c r="O156" s="46"/>
      <c r="P156" s="44"/>
      <c r="Q156" s="67"/>
    </row>
    <row r="157" spans="1:19" ht="17.100000000000001" customHeight="1">
      <c r="A157" s="296"/>
      <c r="B157" s="37"/>
      <c r="C157" s="61"/>
      <c r="D157" s="44"/>
      <c r="E157" s="44"/>
      <c r="F157" s="44"/>
      <c r="G157" s="46"/>
      <c r="H157" s="46"/>
      <c r="I157" s="76"/>
      <c r="J157" s="82"/>
      <c r="K157" s="61"/>
      <c r="L157" s="120"/>
      <c r="M157" s="32"/>
      <c r="N157" s="44"/>
      <c r="O157" s="46"/>
      <c r="P157" s="44"/>
      <c r="Q157" s="67"/>
    </row>
    <row r="158" spans="1:19" ht="17.100000000000001" customHeight="1">
      <c r="A158" s="296"/>
      <c r="B158" s="37"/>
      <c r="C158" s="230"/>
      <c r="D158" s="44"/>
      <c r="E158" s="44"/>
      <c r="F158" s="44"/>
      <c r="G158" s="46"/>
      <c r="H158" s="46"/>
      <c r="I158" s="76"/>
      <c r="J158" s="82"/>
      <c r="K158" s="61"/>
      <c r="L158" s="120"/>
      <c r="M158" s="32"/>
      <c r="N158" s="44"/>
      <c r="O158" s="46"/>
      <c r="P158" s="44"/>
      <c r="Q158" s="67"/>
    </row>
    <row r="159" spans="1:19" ht="20.100000000000001" customHeight="1">
      <c r="A159" s="296"/>
      <c r="B159" s="37"/>
      <c r="C159" s="32"/>
      <c r="D159" s="32"/>
      <c r="E159" s="32"/>
      <c r="F159" s="32"/>
      <c r="G159" s="33"/>
      <c r="H159" s="33"/>
      <c r="I159" s="74"/>
      <c r="J159" s="81"/>
      <c r="K159" s="49" t="s">
        <v>70</v>
      </c>
      <c r="L159" s="50"/>
      <c r="M159" s="50"/>
      <c r="N159" s="50"/>
      <c r="O159" s="236">
        <f>SUM(O153:O157)</f>
        <v>0</v>
      </c>
      <c r="P159" s="232">
        <f>P153</f>
        <v>0</v>
      </c>
      <c r="Q159" s="232">
        <f>O159+P159</f>
        <v>0</v>
      </c>
    </row>
    <row r="160" spans="1:19" ht="20.100000000000001" customHeight="1">
      <c r="A160" s="296"/>
      <c r="B160" s="37"/>
      <c r="C160" s="32"/>
      <c r="D160" s="32"/>
      <c r="E160" s="32"/>
      <c r="F160" s="32"/>
      <c r="G160" s="233">
        <f>SUM(G153:G159)</f>
        <v>0</v>
      </c>
      <c r="H160" s="233">
        <f>SUM(H153:H159)</f>
        <v>31099</v>
      </c>
      <c r="I160" s="238">
        <f>SUM(I153:I159)</f>
        <v>31099</v>
      </c>
      <c r="J160" s="81"/>
      <c r="K160" s="49" t="s">
        <v>39</v>
      </c>
      <c r="L160" s="50"/>
      <c r="M160" s="50"/>
      <c r="N160" s="50"/>
      <c r="O160" s="237">
        <v>0</v>
      </c>
      <c r="P160" s="233">
        <f>H160-P159</f>
        <v>31099</v>
      </c>
      <c r="Q160" s="233">
        <f>I160-Q159</f>
        <v>31099</v>
      </c>
    </row>
    <row r="161" spans="1:17" ht="20.100000000000001" customHeight="1">
      <c r="A161" s="296"/>
      <c r="B161" s="37"/>
      <c r="C161" s="32"/>
      <c r="D161" s="32"/>
      <c r="E161" s="32"/>
      <c r="F161" s="32"/>
      <c r="G161" s="32"/>
      <c r="H161" s="32"/>
      <c r="I161" s="78"/>
      <c r="J161" s="81"/>
      <c r="K161" s="49" t="s">
        <v>40</v>
      </c>
      <c r="L161" s="50"/>
      <c r="M161" s="50"/>
      <c r="N161" s="50"/>
      <c r="O161" s="235">
        <f>O159</f>
        <v>0</v>
      </c>
      <c r="P161" s="234">
        <f>P159+P160</f>
        <v>31099</v>
      </c>
      <c r="Q161" s="234">
        <f>Q159+Q160</f>
        <v>31099</v>
      </c>
    </row>
    <row r="162" spans="1:17" ht="22.5" customHeight="1">
      <c r="A162" s="296"/>
      <c r="B162" s="63"/>
      <c r="C162" s="63"/>
      <c r="D162" s="32"/>
      <c r="E162" s="32"/>
      <c r="F162" s="32"/>
      <c r="G162" s="32"/>
      <c r="H162" s="32"/>
      <c r="I162" s="78"/>
      <c r="J162" s="80"/>
      <c r="K162" s="32"/>
      <c r="L162" s="32"/>
      <c r="M162" s="32"/>
      <c r="N162" s="32"/>
      <c r="O162" s="32"/>
      <c r="P162" s="32"/>
      <c r="Q162" s="32"/>
    </row>
    <row r="163" spans="1:17" ht="45" customHeight="1">
      <c r="A163" s="296"/>
      <c r="B163" s="57" t="s">
        <v>206</v>
      </c>
      <c r="C163" s="25" t="s">
        <v>26</v>
      </c>
      <c r="D163" s="32"/>
      <c r="E163" s="32"/>
      <c r="F163" s="32"/>
      <c r="G163" s="46">
        <v>0</v>
      </c>
      <c r="H163" s="46">
        <f>P160</f>
        <v>31099</v>
      </c>
      <c r="I163" s="76">
        <f>G163+H163</f>
        <v>31099</v>
      </c>
      <c r="J163" s="80" t="str">
        <f>B163</f>
        <v>16/11/2024</v>
      </c>
      <c r="K163" s="60" t="s">
        <v>38</v>
      </c>
      <c r="L163" s="129"/>
      <c r="M163" s="126"/>
      <c r="N163" s="32"/>
      <c r="O163" s="46">
        <v>0</v>
      </c>
      <c r="P163" s="46">
        <v>0</v>
      </c>
      <c r="Q163" s="46">
        <f>P163</f>
        <v>0</v>
      </c>
    </row>
    <row r="164" spans="1:17" ht="17.100000000000001" customHeight="1">
      <c r="A164" s="296"/>
      <c r="B164" s="37"/>
      <c r="C164" s="32"/>
      <c r="D164" s="32"/>
      <c r="E164" s="32"/>
      <c r="F164" s="32"/>
      <c r="G164" s="33"/>
      <c r="H164" s="33"/>
      <c r="I164" s="74"/>
      <c r="J164" s="81"/>
      <c r="K164" s="128"/>
      <c r="L164" s="83"/>
      <c r="M164" s="44"/>
      <c r="N164" s="32"/>
      <c r="O164" s="46"/>
      <c r="P164" s="33"/>
      <c r="Q164" s="67"/>
    </row>
    <row r="165" spans="1:17" ht="17.100000000000001" customHeight="1">
      <c r="A165" s="296"/>
      <c r="B165" s="37"/>
      <c r="C165" s="62" t="s">
        <v>171</v>
      </c>
      <c r="D165" s="32"/>
      <c r="E165" s="32"/>
      <c r="F165" s="32"/>
      <c r="G165" s="44"/>
      <c r="H165" s="41">
        <v>5400</v>
      </c>
      <c r="I165" s="75">
        <f>H165</f>
        <v>5400</v>
      </c>
      <c r="J165" s="81"/>
      <c r="K165" s="61"/>
      <c r="L165" s="57"/>
      <c r="M165" s="32"/>
      <c r="N165" s="32"/>
      <c r="O165" s="33"/>
      <c r="P165" s="33"/>
      <c r="Q165" s="39"/>
    </row>
    <row r="166" spans="1:17" ht="17.100000000000001" customHeight="1">
      <c r="A166" s="296"/>
      <c r="B166" s="37"/>
      <c r="C166" s="32"/>
      <c r="D166" s="32"/>
      <c r="E166" s="32"/>
      <c r="F166" s="32"/>
      <c r="G166" s="33"/>
      <c r="H166" s="33"/>
      <c r="I166" s="74"/>
      <c r="J166" s="81"/>
      <c r="K166" s="61"/>
      <c r="L166" s="57"/>
      <c r="M166" s="32"/>
      <c r="N166" s="32"/>
      <c r="O166" s="33"/>
      <c r="P166" s="33"/>
      <c r="Q166" s="39"/>
    </row>
    <row r="167" spans="1:17" ht="17.100000000000001" customHeight="1">
      <c r="A167" s="296"/>
      <c r="B167" s="37"/>
      <c r="C167" s="32"/>
      <c r="D167" s="32"/>
      <c r="E167" s="32"/>
      <c r="F167" s="32"/>
      <c r="G167" s="33"/>
      <c r="H167" s="33"/>
      <c r="I167" s="74"/>
      <c r="J167" s="81"/>
      <c r="K167" s="61"/>
      <c r="L167" s="57"/>
      <c r="M167" s="32"/>
      <c r="N167" s="32"/>
      <c r="O167" s="33"/>
      <c r="P167" s="33"/>
      <c r="Q167" s="39"/>
    </row>
    <row r="168" spans="1:17" ht="17.100000000000001" customHeight="1">
      <c r="A168" s="296"/>
      <c r="B168" s="37"/>
      <c r="C168" s="32"/>
      <c r="D168" s="32"/>
      <c r="E168" s="32"/>
      <c r="F168" s="32"/>
      <c r="G168" s="45"/>
      <c r="H168" s="45"/>
      <c r="I168" s="77"/>
      <c r="J168" s="81"/>
      <c r="K168" s="61"/>
      <c r="L168" s="57"/>
      <c r="M168" s="32"/>
      <c r="N168" s="32"/>
      <c r="O168" s="46"/>
      <c r="P168" s="44"/>
      <c r="Q168" s="67"/>
    </row>
    <row r="169" spans="1:17" ht="20.100000000000001" customHeight="1">
      <c r="A169" s="296"/>
      <c r="B169" s="37"/>
      <c r="C169" s="32"/>
      <c r="D169" s="32"/>
      <c r="E169" s="32"/>
      <c r="F169" s="32"/>
      <c r="G169" s="33"/>
      <c r="H169" s="33"/>
      <c r="I169" s="74"/>
      <c r="J169" s="81"/>
      <c r="K169" s="49" t="s">
        <v>70</v>
      </c>
      <c r="L169" s="32"/>
      <c r="M169" s="32"/>
      <c r="N169" s="32"/>
      <c r="O169" s="236">
        <v>0</v>
      </c>
      <c r="P169" s="232">
        <f>P163</f>
        <v>0</v>
      </c>
      <c r="Q169" s="232">
        <f>O169+P169</f>
        <v>0</v>
      </c>
    </row>
    <row r="170" spans="1:17" ht="20.100000000000001" customHeight="1">
      <c r="A170" s="296"/>
      <c r="B170" s="37"/>
      <c r="C170" s="32"/>
      <c r="D170" s="32"/>
      <c r="E170" s="32"/>
      <c r="F170" s="32"/>
      <c r="G170" s="233">
        <f>SUM(G163:G169)</f>
        <v>0</v>
      </c>
      <c r="H170" s="233">
        <f>SUM(H163:H169)</f>
        <v>36499</v>
      </c>
      <c r="I170" s="238">
        <f>SUM(I163:I169)</f>
        <v>36499</v>
      </c>
      <c r="J170" s="81"/>
      <c r="K170" s="49" t="s">
        <v>39</v>
      </c>
      <c r="L170" s="32"/>
      <c r="M170" s="32"/>
      <c r="N170" s="32"/>
      <c r="O170" s="237">
        <v>0</v>
      </c>
      <c r="P170" s="233">
        <f>H170-P169</f>
        <v>36499</v>
      </c>
      <c r="Q170" s="233">
        <f>I170-Q169</f>
        <v>36499</v>
      </c>
    </row>
    <row r="171" spans="1:17" ht="20.100000000000001" customHeight="1">
      <c r="A171" s="296"/>
      <c r="B171" s="37"/>
      <c r="C171" s="32"/>
      <c r="D171" s="32"/>
      <c r="E171" s="32"/>
      <c r="F171" s="32"/>
      <c r="G171" s="32"/>
      <c r="H171" s="32"/>
      <c r="I171" s="78"/>
      <c r="J171" s="81"/>
      <c r="K171" s="49" t="s">
        <v>40</v>
      </c>
      <c r="L171" s="32"/>
      <c r="M171" s="32"/>
      <c r="N171" s="32"/>
      <c r="O171" s="235">
        <f>O169</f>
        <v>0</v>
      </c>
      <c r="P171" s="234">
        <f>P169+P170</f>
        <v>36499</v>
      </c>
      <c r="Q171" s="234">
        <f>Q169+Q170</f>
        <v>36499</v>
      </c>
    </row>
    <row r="172" spans="1:17" ht="42.95" customHeight="1">
      <c r="A172" s="127"/>
      <c r="B172" s="131"/>
      <c r="C172" s="132"/>
      <c r="D172" s="132"/>
      <c r="E172" s="132"/>
      <c r="F172" s="132"/>
      <c r="G172" s="132"/>
      <c r="H172" s="132"/>
      <c r="I172" s="132"/>
      <c r="J172" s="131"/>
      <c r="K172" s="133"/>
      <c r="L172" s="132"/>
      <c r="M172" s="132"/>
      <c r="N172" s="132"/>
      <c r="O172" s="134"/>
      <c r="P172" s="134"/>
      <c r="Q172" s="134"/>
    </row>
    <row r="173" spans="1:17" ht="42.6" customHeight="1">
      <c r="A173" s="296">
        <f ca="1">A173:Q193</f>
        <v>0</v>
      </c>
      <c r="B173" s="318" t="s">
        <v>259</v>
      </c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</row>
    <row r="174" spans="1:17" ht="43.5" customHeight="1">
      <c r="A174" s="296"/>
      <c r="B174" s="320"/>
      <c r="C174" s="320"/>
      <c r="D174" s="320"/>
      <c r="E174" s="320"/>
      <c r="F174" s="320"/>
      <c r="G174" s="320"/>
      <c r="H174" s="320"/>
      <c r="I174" s="321"/>
      <c r="J174" s="322"/>
      <c r="K174" s="323"/>
      <c r="L174" s="323"/>
      <c r="M174" s="323"/>
      <c r="N174" s="323"/>
      <c r="O174" s="323"/>
      <c r="P174" s="323"/>
      <c r="Q174" s="323"/>
    </row>
    <row r="175" spans="1:17" ht="66" customHeight="1">
      <c r="A175" s="296"/>
      <c r="B175" s="27" t="s">
        <v>19</v>
      </c>
      <c r="C175" s="27" t="s">
        <v>29</v>
      </c>
      <c r="D175" s="28" t="s">
        <v>30</v>
      </c>
      <c r="E175" s="28" t="s">
        <v>31</v>
      </c>
      <c r="F175" s="28" t="s">
        <v>32</v>
      </c>
      <c r="G175" s="27" t="s">
        <v>33</v>
      </c>
      <c r="H175" s="27" t="s">
        <v>34</v>
      </c>
      <c r="I175" s="73" t="s">
        <v>35</v>
      </c>
      <c r="J175" s="79" t="s">
        <v>19</v>
      </c>
      <c r="K175" s="27" t="s">
        <v>69</v>
      </c>
      <c r="L175" s="28" t="s">
        <v>36</v>
      </c>
      <c r="M175" s="28" t="s">
        <v>37</v>
      </c>
      <c r="N175" s="28" t="s">
        <v>32</v>
      </c>
      <c r="O175" s="27" t="s">
        <v>33</v>
      </c>
      <c r="P175" s="27" t="s">
        <v>34</v>
      </c>
      <c r="Q175" s="27" t="s">
        <v>35</v>
      </c>
    </row>
    <row r="176" spans="1:17" ht="45" customHeight="1">
      <c r="A176" s="296"/>
      <c r="B176" s="57" t="s">
        <v>216</v>
      </c>
      <c r="C176" s="25" t="s">
        <v>26</v>
      </c>
      <c r="D176" s="32"/>
      <c r="E176" s="32"/>
      <c r="F176" s="32"/>
      <c r="G176" s="46">
        <v>0</v>
      </c>
      <c r="H176" s="46">
        <f>P170</f>
        <v>36499</v>
      </c>
      <c r="I176" s="76">
        <f>G176+H176</f>
        <v>36499</v>
      </c>
      <c r="J176" s="80" t="str">
        <f>B176</f>
        <v>24/12/2024</v>
      </c>
      <c r="K176" s="60" t="s">
        <v>38</v>
      </c>
      <c r="L176" s="129"/>
      <c r="M176" s="126"/>
      <c r="N176" s="32"/>
      <c r="O176" s="46">
        <v>0</v>
      </c>
      <c r="P176" s="46">
        <v>0</v>
      </c>
      <c r="Q176" s="46">
        <f>P176</f>
        <v>0</v>
      </c>
    </row>
    <row r="177" spans="1:21" ht="17.100000000000001" customHeight="1">
      <c r="A177" s="296"/>
      <c r="B177" s="37"/>
      <c r="C177" s="32"/>
      <c r="D177" s="32"/>
      <c r="E177" s="32"/>
      <c r="F177" s="32"/>
      <c r="G177" s="33"/>
      <c r="H177" s="33"/>
      <c r="I177" s="74"/>
      <c r="J177" s="81"/>
      <c r="K177" s="128"/>
      <c r="L177" s="83"/>
      <c r="M177" s="44"/>
      <c r="N177" s="32"/>
      <c r="O177" s="33"/>
      <c r="P177" s="33"/>
      <c r="Q177" s="39"/>
    </row>
    <row r="178" spans="1:21" ht="17.100000000000001" customHeight="1">
      <c r="A178" s="296"/>
      <c r="B178" s="37"/>
      <c r="C178" s="62" t="s">
        <v>217</v>
      </c>
      <c r="D178" s="32"/>
      <c r="E178" s="32"/>
      <c r="F178" s="32"/>
      <c r="G178" s="40"/>
      <c r="H178" s="41">
        <v>10000</v>
      </c>
      <c r="I178" s="75">
        <f>H178</f>
        <v>10000</v>
      </c>
      <c r="J178" s="81"/>
      <c r="K178" s="135"/>
      <c r="L178" s="130"/>
      <c r="M178" s="44"/>
      <c r="N178" s="32"/>
      <c r="O178" s="46"/>
      <c r="P178" s="44"/>
      <c r="Q178" s="67"/>
    </row>
    <row r="179" spans="1:21" ht="17.100000000000001" customHeight="1">
      <c r="A179" s="296"/>
      <c r="B179" s="37"/>
      <c r="C179" s="48"/>
      <c r="D179" s="32"/>
      <c r="E179" s="32"/>
      <c r="F179" s="32"/>
      <c r="G179" s="46"/>
      <c r="H179" s="46"/>
      <c r="I179" s="76"/>
      <c r="J179" s="81"/>
      <c r="K179" s="61"/>
      <c r="L179" s="130"/>
      <c r="M179" s="32"/>
      <c r="N179" s="32"/>
      <c r="O179" s="46"/>
      <c r="P179" s="44"/>
      <c r="Q179" s="67"/>
    </row>
    <row r="180" spans="1:21" ht="17.100000000000001" customHeight="1">
      <c r="A180" s="296"/>
      <c r="B180" s="37"/>
      <c r="C180" s="230"/>
      <c r="D180" s="32"/>
      <c r="E180" s="32"/>
      <c r="F180" s="32"/>
      <c r="G180" s="46"/>
      <c r="H180" s="46"/>
      <c r="I180" s="76"/>
      <c r="J180" s="81"/>
      <c r="K180" s="160"/>
      <c r="L180" s="130"/>
      <c r="M180" s="32"/>
      <c r="N180" s="32"/>
      <c r="O180" s="46"/>
      <c r="P180" s="44"/>
      <c r="Q180" s="67"/>
    </row>
    <row r="181" spans="1:21" ht="17.100000000000001" customHeight="1">
      <c r="A181" s="296"/>
      <c r="B181" s="37"/>
      <c r="C181" s="48"/>
      <c r="D181" s="32"/>
      <c r="E181" s="32"/>
      <c r="F181" s="32"/>
      <c r="G181" s="46"/>
      <c r="H181" s="46"/>
      <c r="I181" s="76"/>
      <c r="J181" s="81"/>
      <c r="K181" s="61"/>
      <c r="L181" s="57"/>
      <c r="M181" s="32"/>
      <c r="N181" s="32"/>
      <c r="O181" s="46"/>
      <c r="P181" s="44"/>
      <c r="Q181" s="67"/>
    </row>
    <row r="182" spans="1:21" ht="20.100000000000001" customHeight="1">
      <c r="A182" s="296"/>
      <c r="B182" s="37"/>
      <c r="C182" s="32"/>
      <c r="D182" s="32"/>
      <c r="E182" s="32"/>
      <c r="F182" s="32"/>
      <c r="G182" s="33"/>
      <c r="H182" s="33"/>
      <c r="I182" s="74"/>
      <c r="J182" s="81"/>
      <c r="K182" s="49" t="s">
        <v>70</v>
      </c>
      <c r="L182" s="32"/>
      <c r="M182" s="32"/>
      <c r="N182" s="32"/>
      <c r="O182" s="236">
        <v>0</v>
      </c>
      <c r="P182" s="232">
        <v>0</v>
      </c>
      <c r="Q182" s="232">
        <v>0</v>
      </c>
      <c r="T182" t="e">
        <f>#REF!-#REF!</f>
        <v>#REF!</v>
      </c>
      <c r="U182" t="e">
        <f>#REF!-#REF!</f>
        <v>#REF!</v>
      </c>
    </row>
    <row r="183" spans="1:21" ht="20.100000000000001" customHeight="1">
      <c r="A183" s="296"/>
      <c r="B183" s="37"/>
      <c r="C183" s="32"/>
      <c r="D183" s="32"/>
      <c r="E183" s="32"/>
      <c r="F183" s="32"/>
      <c r="G183" s="233">
        <f>SUM(G176:G182)</f>
        <v>0</v>
      </c>
      <c r="H183" s="233">
        <f>SUM(H176:H182)</f>
        <v>46499</v>
      </c>
      <c r="I183" s="238">
        <f>SUM(I176:I182)</f>
        <v>46499</v>
      </c>
      <c r="J183" s="81"/>
      <c r="K183" s="49" t="s">
        <v>39</v>
      </c>
      <c r="L183" s="32"/>
      <c r="M183" s="32"/>
      <c r="N183" s="32"/>
      <c r="O183" s="237">
        <v>0</v>
      </c>
      <c r="P183" s="233">
        <f>H183-P182</f>
        <v>46499</v>
      </c>
      <c r="Q183" s="233">
        <f>I183-Q182</f>
        <v>46499</v>
      </c>
      <c r="T183">
        <v>1900</v>
      </c>
      <c r="U183">
        <v>1950</v>
      </c>
    </row>
    <row r="184" spans="1:21" ht="20.100000000000001" customHeight="1">
      <c r="A184" s="296"/>
      <c r="B184" s="37"/>
      <c r="C184" s="32"/>
      <c r="D184" s="32"/>
      <c r="E184" s="32"/>
      <c r="F184" s="32"/>
      <c r="G184" s="32"/>
      <c r="H184" s="32"/>
      <c r="I184" s="78"/>
      <c r="J184" s="81"/>
      <c r="K184" s="49" t="s">
        <v>40</v>
      </c>
      <c r="L184" s="32"/>
      <c r="M184" s="32"/>
      <c r="N184" s="32"/>
      <c r="O184" s="235">
        <f>O182</f>
        <v>0</v>
      </c>
      <c r="P184" s="234">
        <f>P182+P183</f>
        <v>46499</v>
      </c>
      <c r="Q184" s="234">
        <f>Q182+Q183</f>
        <v>46499</v>
      </c>
      <c r="T184" t="e">
        <f>T182-T183</f>
        <v>#REF!</v>
      </c>
      <c r="U184" t="e">
        <f>U182-U183</f>
        <v>#REF!</v>
      </c>
    </row>
    <row r="185" spans="1:21" ht="15.75" customHeight="1">
      <c r="A185" s="296"/>
      <c r="B185" s="63"/>
      <c r="C185" s="63"/>
      <c r="D185" s="32"/>
      <c r="E185" s="32"/>
      <c r="F185" s="32"/>
      <c r="G185" s="32"/>
      <c r="H185" s="32"/>
      <c r="I185" s="78"/>
      <c r="J185" s="80"/>
      <c r="K185" s="32"/>
      <c r="L185" s="32"/>
      <c r="M185" s="32"/>
      <c r="N185" s="32"/>
      <c r="O185" s="32"/>
      <c r="P185" s="32"/>
      <c r="Q185" s="32"/>
    </row>
    <row r="186" spans="1:21" ht="45" customHeight="1">
      <c r="A186" s="296"/>
      <c r="B186" s="57" t="s">
        <v>276</v>
      </c>
      <c r="C186" s="25" t="s">
        <v>26</v>
      </c>
      <c r="D186" s="32"/>
      <c r="E186" s="32"/>
      <c r="F186" s="32"/>
      <c r="G186" s="46">
        <v>0</v>
      </c>
      <c r="H186" s="46">
        <f>P183</f>
        <v>46499</v>
      </c>
      <c r="I186" s="76">
        <f>G186+H186</f>
        <v>46499</v>
      </c>
      <c r="J186" s="80" t="str">
        <f>B186</f>
        <v>25/12/2024    TO   31/12/2024</v>
      </c>
      <c r="K186" s="60" t="s">
        <v>38</v>
      </c>
      <c r="L186" s="129"/>
      <c r="M186" s="126"/>
      <c r="N186" s="32"/>
      <c r="O186" s="46">
        <v>0</v>
      </c>
      <c r="P186" s="46">
        <v>0</v>
      </c>
      <c r="Q186" s="46">
        <f>P186</f>
        <v>0</v>
      </c>
    </row>
    <row r="187" spans="1:21" ht="20.100000000000001" customHeight="1">
      <c r="A187" s="296"/>
      <c r="B187" s="37"/>
      <c r="C187" s="32"/>
      <c r="D187" s="32"/>
      <c r="E187" s="32"/>
      <c r="F187" s="32"/>
      <c r="G187" s="33"/>
      <c r="H187" s="33"/>
      <c r="I187" s="74"/>
      <c r="J187" s="81"/>
      <c r="K187" s="128"/>
      <c r="L187" s="83"/>
      <c r="M187" s="44"/>
      <c r="N187" s="32"/>
      <c r="O187" s="33"/>
      <c r="P187" s="33"/>
      <c r="Q187" s="39"/>
    </row>
    <row r="188" spans="1:21" ht="20.100000000000001" customHeight="1">
      <c r="A188" s="296"/>
      <c r="B188" s="37"/>
      <c r="C188" s="48"/>
      <c r="D188" s="32"/>
      <c r="E188" s="32"/>
      <c r="F188" s="32"/>
      <c r="G188" s="44"/>
      <c r="H188" s="46"/>
      <c r="I188" s="137"/>
      <c r="J188" s="81"/>
      <c r="K188" s="61"/>
      <c r="L188" s="130"/>
      <c r="M188" s="32"/>
      <c r="N188" s="32"/>
      <c r="O188" s="46"/>
      <c r="P188" s="44"/>
      <c r="Q188" s="67"/>
    </row>
    <row r="189" spans="1:21" ht="20.100000000000001" customHeight="1">
      <c r="A189" s="296"/>
      <c r="B189" s="37"/>
      <c r="C189" s="32"/>
      <c r="D189" s="32"/>
      <c r="E189" s="32"/>
      <c r="F189" s="32"/>
      <c r="G189" s="44"/>
      <c r="H189" s="46"/>
      <c r="I189" s="76"/>
      <c r="J189" s="81"/>
      <c r="K189" s="221"/>
      <c r="L189" s="130"/>
      <c r="M189" s="32"/>
      <c r="N189" s="32"/>
      <c r="O189" s="46"/>
      <c r="P189" s="44"/>
      <c r="Q189" s="67"/>
    </row>
    <row r="190" spans="1:21" ht="20.100000000000001" customHeight="1">
      <c r="A190" s="296"/>
      <c r="B190" s="37"/>
      <c r="C190" s="48"/>
      <c r="D190" s="32"/>
      <c r="E190" s="32"/>
      <c r="F190" s="32"/>
      <c r="G190" s="46"/>
      <c r="H190" s="46"/>
      <c r="I190" s="76"/>
      <c r="J190" s="81"/>
      <c r="K190" s="61"/>
      <c r="L190" s="57"/>
      <c r="M190" s="32"/>
      <c r="N190" s="32"/>
      <c r="O190" s="46"/>
      <c r="P190" s="44"/>
      <c r="Q190" s="67"/>
    </row>
    <row r="191" spans="1:21" ht="20.100000000000001" customHeight="1">
      <c r="A191" s="296"/>
      <c r="B191" s="37"/>
      <c r="C191" s="32"/>
      <c r="D191" s="32"/>
      <c r="E191" s="32"/>
      <c r="F191" s="32"/>
      <c r="G191" s="33"/>
      <c r="H191" s="33"/>
      <c r="I191" s="74"/>
      <c r="J191" s="81"/>
      <c r="K191" s="49" t="s">
        <v>70</v>
      </c>
      <c r="L191" s="32"/>
      <c r="M191" s="32"/>
      <c r="N191" s="32"/>
      <c r="O191" s="232">
        <f>SUM(O186:O190)</f>
        <v>0</v>
      </c>
      <c r="P191" s="232">
        <f>P186+O188+O187+O189+O190-O191</f>
        <v>0</v>
      </c>
      <c r="Q191" s="232">
        <f>O191+P191</f>
        <v>0</v>
      </c>
    </row>
    <row r="192" spans="1:21" ht="20.100000000000001" customHeight="1">
      <c r="A192" s="296"/>
      <c r="B192" s="37"/>
      <c r="C192" s="32"/>
      <c r="D192" s="32"/>
      <c r="E192" s="32"/>
      <c r="F192" s="32"/>
      <c r="G192" s="233">
        <f>SUM(G186:G191)</f>
        <v>0</v>
      </c>
      <c r="H192" s="233">
        <f>SUM(H186:H191)</f>
        <v>46499</v>
      </c>
      <c r="I192" s="238">
        <f>SUM(I186:I191)</f>
        <v>46499</v>
      </c>
      <c r="J192" s="81"/>
      <c r="K192" s="49" t="s">
        <v>39</v>
      </c>
      <c r="L192" s="32"/>
      <c r="M192" s="32"/>
      <c r="N192" s="32"/>
      <c r="O192" s="237">
        <v>0</v>
      </c>
      <c r="P192" s="233">
        <f>H192-P191</f>
        <v>46499</v>
      </c>
      <c r="Q192" s="233">
        <f>I192-Q191</f>
        <v>46499</v>
      </c>
    </row>
    <row r="193" spans="1:21" ht="20.100000000000001" customHeight="1">
      <c r="A193" s="296"/>
      <c r="B193" s="37"/>
      <c r="C193" s="32"/>
      <c r="D193" s="32"/>
      <c r="E193" s="32"/>
      <c r="F193" s="32"/>
      <c r="G193" s="32"/>
      <c r="H193" s="32"/>
      <c r="I193" s="78"/>
      <c r="J193" s="81"/>
      <c r="K193" s="49" t="s">
        <v>40</v>
      </c>
      <c r="L193" s="32"/>
      <c r="M193" s="32"/>
      <c r="N193" s="32"/>
      <c r="O193" s="234">
        <f>O191</f>
        <v>0</v>
      </c>
      <c r="P193" s="234">
        <f>P191+P192</f>
        <v>46499</v>
      </c>
      <c r="Q193" s="234">
        <f>Q191+Q192</f>
        <v>46499</v>
      </c>
    </row>
    <row r="194" spans="1:21" ht="42.95" customHeight="1">
      <c r="A194" s="29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spans="1:21" ht="42.6" customHeight="1">
      <c r="A195" s="296">
        <f ca="1">A195:Q217</f>
        <v>0</v>
      </c>
      <c r="B195" s="318" t="s">
        <v>259</v>
      </c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</row>
    <row r="196" spans="1:21" ht="43.5" customHeight="1">
      <c r="A196" s="296"/>
      <c r="B196" s="320"/>
      <c r="C196" s="320"/>
      <c r="D196" s="320"/>
      <c r="E196" s="320"/>
      <c r="F196" s="320"/>
      <c r="G196" s="320"/>
      <c r="H196" s="320"/>
      <c r="I196" s="321"/>
      <c r="J196" s="322"/>
      <c r="K196" s="323"/>
      <c r="L196" s="323"/>
      <c r="M196" s="323"/>
      <c r="N196" s="323"/>
      <c r="O196" s="323"/>
      <c r="P196" s="323"/>
      <c r="Q196" s="323"/>
    </row>
    <row r="197" spans="1:21" ht="66" customHeight="1">
      <c r="A197" s="296"/>
      <c r="B197" s="27" t="s">
        <v>19</v>
      </c>
      <c r="C197" s="27" t="s">
        <v>29</v>
      </c>
      <c r="D197" s="28" t="s">
        <v>30</v>
      </c>
      <c r="E197" s="28" t="s">
        <v>31</v>
      </c>
      <c r="F197" s="28" t="s">
        <v>32</v>
      </c>
      <c r="G197" s="27" t="s">
        <v>33</v>
      </c>
      <c r="H197" s="27" t="s">
        <v>34</v>
      </c>
      <c r="I197" s="73" t="s">
        <v>35</v>
      </c>
      <c r="J197" s="79" t="s">
        <v>19</v>
      </c>
      <c r="K197" s="27" t="s">
        <v>69</v>
      </c>
      <c r="L197" s="28" t="s">
        <v>36</v>
      </c>
      <c r="M197" s="28" t="s">
        <v>37</v>
      </c>
      <c r="N197" s="28" t="s">
        <v>32</v>
      </c>
      <c r="O197" s="27" t="s">
        <v>33</v>
      </c>
      <c r="P197" s="27" t="s">
        <v>34</v>
      </c>
      <c r="Q197" s="27" t="s">
        <v>35</v>
      </c>
    </row>
    <row r="198" spans="1:21" ht="45" customHeight="1">
      <c r="A198" s="296"/>
      <c r="B198" s="57">
        <v>45931</v>
      </c>
      <c r="C198" s="25" t="s">
        <v>26</v>
      </c>
      <c r="D198" s="32"/>
      <c r="E198" s="32"/>
      <c r="F198" s="32"/>
      <c r="G198" s="46">
        <v>0</v>
      </c>
      <c r="H198" s="46">
        <f>P192</f>
        <v>46499</v>
      </c>
      <c r="I198" s="76">
        <f>G198+H198</f>
        <v>46499</v>
      </c>
      <c r="J198" s="80">
        <f>B198</f>
        <v>45931</v>
      </c>
      <c r="K198" s="60" t="s">
        <v>115</v>
      </c>
      <c r="L198" s="129" t="s">
        <v>277</v>
      </c>
      <c r="M198" s="126" t="s">
        <v>278</v>
      </c>
      <c r="N198" s="32"/>
      <c r="O198" s="46">
        <v>0</v>
      </c>
      <c r="P198" s="46">
        <v>5400</v>
      </c>
      <c r="Q198" s="46">
        <f>P198</f>
        <v>5400</v>
      </c>
    </row>
    <row r="199" spans="1:21" ht="17.100000000000001" customHeight="1">
      <c r="A199" s="296"/>
      <c r="B199" s="37"/>
      <c r="C199" s="32"/>
      <c r="D199" s="32"/>
      <c r="E199" s="32"/>
      <c r="F199" s="32"/>
      <c r="G199" s="33"/>
      <c r="H199" s="33"/>
      <c r="I199" s="74"/>
      <c r="J199" s="81"/>
      <c r="K199" s="128" t="s">
        <v>101</v>
      </c>
      <c r="L199" s="83"/>
      <c r="M199" s="44"/>
      <c r="N199" s="32"/>
      <c r="O199" s="33"/>
      <c r="P199" s="33"/>
      <c r="Q199" s="39"/>
    </row>
    <row r="200" spans="1:21" ht="17.100000000000001" customHeight="1">
      <c r="A200" s="296"/>
      <c r="B200" s="37"/>
      <c r="C200" s="48"/>
      <c r="D200" s="32"/>
      <c r="E200" s="32"/>
      <c r="F200" s="32"/>
      <c r="G200" s="46"/>
      <c r="H200" s="46"/>
      <c r="I200" s="76"/>
      <c r="J200" s="81"/>
      <c r="K200" s="135" t="s">
        <v>279</v>
      </c>
      <c r="L200" s="287" t="s">
        <v>282</v>
      </c>
      <c r="M200" s="44"/>
      <c r="N200" s="32"/>
      <c r="O200" s="46">
        <v>900</v>
      </c>
      <c r="P200" s="44"/>
      <c r="Q200" s="67">
        <f>O200</f>
        <v>900</v>
      </c>
      <c r="T200">
        <v>14205</v>
      </c>
      <c r="U200">
        <v>11786</v>
      </c>
    </row>
    <row r="201" spans="1:21" ht="17.100000000000001" customHeight="1">
      <c r="A201" s="296"/>
      <c r="B201" s="37"/>
      <c r="C201" s="48"/>
      <c r="D201" s="32"/>
      <c r="E201" s="32"/>
      <c r="F201" s="32"/>
      <c r="G201" s="46"/>
      <c r="H201" s="46"/>
      <c r="I201" s="76"/>
      <c r="J201" s="81"/>
      <c r="K201" s="160" t="s">
        <v>280</v>
      </c>
      <c r="L201" s="287" t="s">
        <v>281</v>
      </c>
      <c r="M201" s="44"/>
      <c r="N201" s="32"/>
      <c r="O201" s="46">
        <v>900</v>
      </c>
      <c r="P201" s="44"/>
      <c r="Q201" s="67">
        <f t="shared" ref="Q201:Q205" si="2">O201</f>
        <v>900</v>
      </c>
    </row>
    <row r="202" spans="1:21" ht="17.100000000000001" customHeight="1">
      <c r="A202" s="296"/>
      <c r="B202" s="37"/>
      <c r="C202" s="48"/>
      <c r="D202" s="32"/>
      <c r="E202" s="32"/>
      <c r="F202" s="32"/>
      <c r="G202" s="46"/>
      <c r="H202" s="46"/>
      <c r="I202" s="76"/>
      <c r="J202" s="81"/>
      <c r="K202" s="135" t="s">
        <v>279</v>
      </c>
      <c r="L202" s="287" t="s">
        <v>283</v>
      </c>
      <c r="M202" s="44"/>
      <c r="N202" s="32"/>
      <c r="O202" s="46">
        <v>900</v>
      </c>
      <c r="P202" s="44"/>
      <c r="Q202" s="67">
        <f t="shared" si="2"/>
        <v>900</v>
      </c>
    </row>
    <row r="203" spans="1:21" ht="17.100000000000001" customHeight="1">
      <c r="A203" s="296"/>
      <c r="B203" s="37"/>
      <c r="C203" s="48"/>
      <c r="D203" s="32"/>
      <c r="E203" s="32"/>
      <c r="F203" s="32"/>
      <c r="G203" s="46"/>
      <c r="H203" s="46"/>
      <c r="I203" s="76"/>
      <c r="J203" s="81"/>
      <c r="K203" s="160" t="s">
        <v>280</v>
      </c>
      <c r="L203" s="287" t="s">
        <v>284</v>
      </c>
      <c r="M203" s="44"/>
      <c r="N203" s="32"/>
      <c r="O203" s="46">
        <v>900</v>
      </c>
      <c r="P203" s="44"/>
      <c r="Q203" s="67">
        <f t="shared" si="2"/>
        <v>900</v>
      </c>
    </row>
    <row r="204" spans="1:21" ht="17.100000000000001" customHeight="1">
      <c r="A204" s="296"/>
      <c r="B204" s="37"/>
      <c r="C204" s="48"/>
      <c r="D204" s="32"/>
      <c r="E204" s="32"/>
      <c r="F204" s="32"/>
      <c r="G204" s="46"/>
      <c r="H204" s="46"/>
      <c r="I204" s="76"/>
      <c r="J204" s="81"/>
      <c r="K204" s="135" t="s">
        <v>279</v>
      </c>
      <c r="L204" s="287" t="s">
        <v>286</v>
      </c>
      <c r="M204" s="32"/>
      <c r="N204" s="32"/>
      <c r="O204" s="46">
        <v>900</v>
      </c>
      <c r="P204" s="44"/>
      <c r="Q204" s="67">
        <f t="shared" si="2"/>
        <v>900</v>
      </c>
      <c r="T204">
        <v>6000</v>
      </c>
      <c r="U204">
        <v>7900</v>
      </c>
    </row>
    <row r="205" spans="1:21" ht="17.100000000000001" customHeight="1">
      <c r="A205" s="296"/>
      <c r="B205" s="37"/>
      <c r="C205" s="230" t="s">
        <v>114</v>
      </c>
      <c r="D205" s="44"/>
      <c r="E205" s="44"/>
      <c r="F205" s="44"/>
      <c r="G205" s="46">
        <v>5400</v>
      </c>
      <c r="H205" s="46"/>
      <c r="I205" s="76">
        <f>G205</f>
        <v>5400</v>
      </c>
      <c r="J205" s="81"/>
      <c r="K205" s="160" t="s">
        <v>280</v>
      </c>
      <c r="L205" s="287" t="s">
        <v>285</v>
      </c>
      <c r="M205" s="32"/>
      <c r="N205" s="32"/>
      <c r="O205" s="46">
        <v>900</v>
      </c>
      <c r="P205" s="44"/>
      <c r="Q205" s="67">
        <f t="shared" si="2"/>
        <v>900</v>
      </c>
    </row>
    <row r="206" spans="1:21" ht="20.100000000000001" customHeight="1">
      <c r="A206" s="296"/>
      <c r="B206" s="37"/>
      <c r="C206" s="32"/>
      <c r="D206" s="32"/>
      <c r="E206" s="32"/>
      <c r="F206" s="32"/>
      <c r="G206" s="33"/>
      <c r="H206" s="33"/>
      <c r="I206" s="74"/>
      <c r="J206" s="81"/>
      <c r="K206" s="49" t="s">
        <v>70</v>
      </c>
      <c r="L206" s="287"/>
      <c r="M206" s="44"/>
      <c r="N206" s="32"/>
      <c r="O206" s="236">
        <f>SUM(O200:O205)</f>
        <v>5400</v>
      </c>
      <c r="P206" s="232">
        <f>P198</f>
        <v>5400</v>
      </c>
      <c r="Q206" s="232">
        <f>O206+P206</f>
        <v>10800</v>
      </c>
      <c r="T206">
        <f>T200-T204</f>
        <v>8205</v>
      </c>
      <c r="U206">
        <f>U200-U204</f>
        <v>3886</v>
      </c>
    </row>
    <row r="207" spans="1:21" ht="20.100000000000001" customHeight="1">
      <c r="A207" s="296"/>
      <c r="B207" s="37"/>
      <c r="C207" s="32"/>
      <c r="D207" s="32"/>
      <c r="E207" s="32"/>
      <c r="F207" s="32"/>
      <c r="G207" s="233">
        <f>SUM(G198:G206)</f>
        <v>5400</v>
      </c>
      <c r="H207" s="233">
        <f>SUM(H198:H206)</f>
        <v>46499</v>
      </c>
      <c r="I207" s="238">
        <f>SUM(I198:I206)</f>
        <v>51899</v>
      </c>
      <c r="J207" s="81"/>
      <c r="K207" s="49" t="s">
        <v>39</v>
      </c>
      <c r="L207" s="287"/>
      <c r="M207" s="44"/>
      <c r="N207" s="32"/>
      <c r="O207" s="237">
        <v>0</v>
      </c>
      <c r="P207" s="233">
        <f>H207-P206</f>
        <v>41099</v>
      </c>
      <c r="Q207" s="233">
        <f>I207-Q206</f>
        <v>41099</v>
      </c>
      <c r="T207">
        <v>1900</v>
      </c>
      <c r="U207">
        <v>1950</v>
      </c>
    </row>
    <row r="208" spans="1:21" ht="20.100000000000001" customHeight="1">
      <c r="A208" s="296"/>
      <c r="B208" s="37"/>
      <c r="C208" s="32"/>
      <c r="D208" s="32"/>
      <c r="E208" s="32"/>
      <c r="F208" s="32"/>
      <c r="G208" s="32"/>
      <c r="H208" s="32"/>
      <c r="I208" s="78"/>
      <c r="J208" s="81"/>
      <c r="K208" s="49" t="s">
        <v>40</v>
      </c>
      <c r="L208" s="32"/>
      <c r="M208" s="32"/>
      <c r="N208" s="32"/>
      <c r="O208" s="235">
        <f>O206</f>
        <v>5400</v>
      </c>
      <c r="P208" s="234">
        <f>P206+P207</f>
        <v>46499</v>
      </c>
      <c r="Q208" s="234">
        <f>Q206+Q207</f>
        <v>51899</v>
      </c>
      <c r="T208">
        <f>T206-T207</f>
        <v>6305</v>
      </c>
      <c r="U208">
        <f>U206-U207</f>
        <v>1936</v>
      </c>
    </row>
    <row r="209" spans="1:17" ht="33.75" customHeight="1">
      <c r="A209" s="296"/>
      <c r="B209" s="63"/>
      <c r="C209" s="63"/>
      <c r="D209" s="32"/>
      <c r="E209" s="32"/>
      <c r="F209" s="32"/>
      <c r="G209" s="32"/>
      <c r="H209" s="32"/>
      <c r="I209" s="78"/>
      <c r="J209" s="80"/>
      <c r="K209" s="32"/>
      <c r="L209" s="32"/>
      <c r="M209" s="32"/>
      <c r="N209" s="32"/>
      <c r="O209" s="32"/>
      <c r="P209" s="32"/>
      <c r="Q209" s="32"/>
    </row>
    <row r="210" spans="1:17" ht="45" customHeight="1">
      <c r="A210" s="296"/>
      <c r="B210" s="57">
        <v>45690</v>
      </c>
      <c r="C210" s="25" t="s">
        <v>26</v>
      </c>
      <c r="D210" s="32"/>
      <c r="E210" s="32"/>
      <c r="F210" s="32"/>
      <c r="G210" s="46">
        <v>0</v>
      </c>
      <c r="H210" s="46">
        <f>P207</f>
        <v>41099</v>
      </c>
      <c r="I210" s="76">
        <f>G210+H210</f>
        <v>41099</v>
      </c>
      <c r="J210" s="80">
        <f>B210</f>
        <v>45690</v>
      </c>
      <c r="K210" s="60" t="s">
        <v>38</v>
      </c>
      <c r="L210" s="129"/>
      <c r="M210" s="126"/>
      <c r="N210" s="32"/>
      <c r="O210" s="46">
        <v>0</v>
      </c>
      <c r="P210" s="46">
        <v>0</v>
      </c>
      <c r="Q210" s="46">
        <f>P210</f>
        <v>0</v>
      </c>
    </row>
    <row r="211" spans="1:17" ht="11.25" customHeight="1">
      <c r="A211" s="296"/>
      <c r="B211" s="37"/>
      <c r="C211" s="32"/>
      <c r="D211" s="32"/>
      <c r="E211" s="32"/>
      <c r="F211" s="32"/>
      <c r="G211" s="33"/>
      <c r="H211" s="33"/>
      <c r="I211" s="74"/>
      <c r="J211" s="81"/>
      <c r="K211" s="128"/>
      <c r="L211" s="130"/>
      <c r="M211" s="32"/>
      <c r="N211" s="32"/>
      <c r="O211" s="33"/>
      <c r="P211" s="33"/>
      <c r="Q211" s="39"/>
    </row>
    <row r="212" spans="1:17" ht="27.75" customHeight="1">
      <c r="A212" s="296"/>
      <c r="B212" s="37"/>
      <c r="C212" s="62" t="s">
        <v>218</v>
      </c>
      <c r="D212" s="32"/>
      <c r="E212" s="32"/>
      <c r="F212" s="32"/>
      <c r="G212" s="46"/>
      <c r="H212" s="46">
        <v>267</v>
      </c>
      <c r="I212" s="76">
        <v>280</v>
      </c>
      <c r="J212" s="81"/>
      <c r="K212" s="162"/>
      <c r="L212" s="130"/>
      <c r="M212" s="32"/>
      <c r="N212" s="32"/>
      <c r="O212" s="46"/>
      <c r="P212" s="44"/>
      <c r="Q212" s="67"/>
    </row>
    <row r="213" spans="1:17" ht="6.75" customHeight="1">
      <c r="A213" s="296"/>
      <c r="B213" s="37"/>
      <c r="C213" s="32"/>
      <c r="D213" s="32"/>
      <c r="E213" s="32"/>
      <c r="F213" s="32"/>
      <c r="G213" s="44"/>
      <c r="H213" s="46"/>
      <c r="I213" s="76"/>
      <c r="J213" s="81"/>
      <c r="K213" s="61"/>
      <c r="L213" s="68"/>
      <c r="M213" s="32"/>
      <c r="N213" s="32"/>
      <c r="O213" s="46"/>
      <c r="P213" s="44"/>
      <c r="Q213" s="67"/>
    </row>
    <row r="214" spans="1:17" ht="9" customHeight="1">
      <c r="A214" s="296"/>
      <c r="B214" s="37"/>
      <c r="J214" s="81"/>
      <c r="K214" s="61"/>
      <c r="L214" s="57"/>
      <c r="M214" s="32"/>
      <c r="N214" s="32"/>
      <c r="O214" s="46"/>
      <c r="P214" s="44"/>
      <c r="Q214" s="67"/>
    </row>
    <row r="215" spans="1:17" ht="20.100000000000001" customHeight="1">
      <c r="A215" s="296"/>
      <c r="B215" s="37"/>
      <c r="C215" s="32"/>
      <c r="D215" s="32"/>
      <c r="E215" s="32"/>
      <c r="F215" s="32"/>
      <c r="G215" s="33"/>
      <c r="H215" s="33"/>
      <c r="I215" s="74"/>
      <c r="J215" s="81"/>
      <c r="K215" s="49" t="s">
        <v>70</v>
      </c>
      <c r="L215" s="32"/>
      <c r="M215" s="32"/>
      <c r="N215" s="32"/>
      <c r="O215" s="232">
        <v>0</v>
      </c>
      <c r="P215" s="232">
        <f>P210+O212+O211+O213+O214-O215</f>
        <v>0</v>
      </c>
      <c r="Q215" s="232">
        <f>O215+P215</f>
        <v>0</v>
      </c>
    </row>
    <row r="216" spans="1:17" ht="20.100000000000001" customHeight="1">
      <c r="A216" s="296"/>
      <c r="B216" s="37"/>
      <c r="C216" s="32"/>
      <c r="D216" s="32"/>
      <c r="E216" s="32"/>
      <c r="F216" s="32"/>
      <c r="G216" s="233">
        <f>SUM(G210:G215)</f>
        <v>0</v>
      </c>
      <c r="H216" s="233">
        <f>SUM(H210:H215)</f>
        <v>41366</v>
      </c>
      <c r="I216" s="238">
        <f>SUM(I210:I215)</f>
        <v>41379</v>
      </c>
      <c r="J216" s="81"/>
      <c r="K216" s="49" t="s">
        <v>39</v>
      </c>
      <c r="L216" s="32"/>
      <c r="M216" s="32"/>
      <c r="N216" s="32"/>
      <c r="O216" s="237">
        <v>0</v>
      </c>
      <c r="P216" s="233">
        <f>H216-P215</f>
        <v>41366</v>
      </c>
      <c r="Q216" s="233">
        <f>I216-Q215</f>
        <v>41379</v>
      </c>
    </row>
    <row r="217" spans="1:17" ht="20.100000000000001" customHeight="1">
      <c r="A217" s="296"/>
      <c r="B217" s="37"/>
      <c r="C217" s="32"/>
      <c r="D217" s="32"/>
      <c r="E217" s="32"/>
      <c r="F217" s="32"/>
      <c r="G217" s="32"/>
      <c r="H217" s="32"/>
      <c r="I217" s="78"/>
      <c r="J217" s="81"/>
      <c r="K217" s="49" t="s">
        <v>40</v>
      </c>
      <c r="L217" s="32"/>
      <c r="M217" s="32"/>
      <c r="N217" s="32"/>
      <c r="O217" s="234">
        <f>O215</f>
        <v>0</v>
      </c>
      <c r="P217" s="234">
        <f>P215+P216</f>
        <v>41366</v>
      </c>
      <c r="Q217" s="234">
        <f>Q215+Q216</f>
        <v>41379</v>
      </c>
    </row>
    <row r="218" spans="1:17" ht="36.75" customHeight="1">
      <c r="A218" s="29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spans="1:17" ht="42.6" customHeight="1">
      <c r="A219" s="296">
        <f ca="1">A219:Q237</f>
        <v>0</v>
      </c>
      <c r="B219" s="318" t="s">
        <v>259</v>
      </c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</row>
    <row r="220" spans="1:17" ht="43.5" customHeight="1">
      <c r="A220" s="296"/>
      <c r="B220" s="320"/>
      <c r="C220" s="320"/>
      <c r="D220" s="320"/>
      <c r="E220" s="320"/>
      <c r="F220" s="320"/>
      <c r="G220" s="320"/>
      <c r="H220" s="320"/>
      <c r="I220" s="321"/>
      <c r="J220" s="322"/>
      <c r="K220" s="323"/>
      <c r="L220" s="323"/>
      <c r="M220" s="323"/>
      <c r="N220" s="323"/>
      <c r="O220" s="323"/>
      <c r="P220" s="323"/>
      <c r="Q220" s="323"/>
    </row>
    <row r="221" spans="1:17" ht="66" customHeight="1">
      <c r="A221" s="296"/>
      <c r="B221" s="27" t="s">
        <v>19</v>
      </c>
      <c r="C221" s="27" t="s">
        <v>29</v>
      </c>
      <c r="D221" s="28" t="s">
        <v>30</v>
      </c>
      <c r="E221" s="28" t="s">
        <v>31</v>
      </c>
      <c r="F221" s="28" t="s">
        <v>32</v>
      </c>
      <c r="G221" s="27" t="s">
        <v>33</v>
      </c>
      <c r="H221" s="27" t="s">
        <v>34</v>
      </c>
      <c r="I221" s="73" t="s">
        <v>35</v>
      </c>
      <c r="J221" s="79" t="s">
        <v>19</v>
      </c>
      <c r="K221" s="27" t="s">
        <v>69</v>
      </c>
      <c r="L221" s="28" t="s">
        <v>36</v>
      </c>
      <c r="M221" s="28" t="s">
        <v>37</v>
      </c>
      <c r="N221" s="28" t="s">
        <v>32</v>
      </c>
      <c r="O221" s="27" t="s">
        <v>33</v>
      </c>
      <c r="P221" s="27" t="s">
        <v>34</v>
      </c>
      <c r="Q221" s="27" t="s">
        <v>35</v>
      </c>
    </row>
    <row r="222" spans="1:17" ht="45" customHeight="1">
      <c r="A222" s="296"/>
      <c r="B222" s="57">
        <v>45718</v>
      </c>
      <c r="C222" s="25" t="s">
        <v>26</v>
      </c>
      <c r="D222" s="32"/>
      <c r="E222" s="32"/>
      <c r="F222" s="32"/>
      <c r="G222" s="46">
        <v>0</v>
      </c>
      <c r="H222" s="46">
        <f>P216</f>
        <v>41366</v>
      </c>
      <c r="I222" s="76">
        <f>G222+H222</f>
        <v>41366</v>
      </c>
      <c r="J222" s="80">
        <f>B222</f>
        <v>45718</v>
      </c>
      <c r="K222" s="60" t="s">
        <v>38</v>
      </c>
      <c r="L222" s="129"/>
      <c r="M222" s="126"/>
      <c r="N222" s="32"/>
      <c r="O222" s="46">
        <v>0</v>
      </c>
      <c r="P222" s="46">
        <v>0</v>
      </c>
      <c r="Q222" s="46">
        <f>P222</f>
        <v>0</v>
      </c>
    </row>
    <row r="223" spans="1:17" ht="17.100000000000001" customHeight="1">
      <c r="A223" s="296"/>
      <c r="B223" s="37"/>
      <c r="C223" s="32"/>
      <c r="D223" s="32"/>
      <c r="E223" s="32"/>
      <c r="F223" s="32"/>
      <c r="G223" s="33"/>
      <c r="H223" s="33"/>
      <c r="I223" s="74"/>
      <c r="J223" s="81"/>
      <c r="K223" s="128"/>
      <c r="L223" s="83"/>
      <c r="M223" s="44"/>
      <c r="N223" s="32"/>
      <c r="O223" s="33"/>
      <c r="P223" s="33"/>
      <c r="Q223" s="39"/>
    </row>
    <row r="224" spans="1:17" ht="17.100000000000001" customHeight="1">
      <c r="A224" s="296"/>
      <c r="B224" s="37"/>
      <c r="C224" s="62" t="s">
        <v>218</v>
      </c>
      <c r="D224" s="32"/>
      <c r="E224" s="32"/>
      <c r="F224" s="32"/>
      <c r="G224" s="40"/>
      <c r="H224" s="41">
        <v>1</v>
      </c>
      <c r="I224" s="75">
        <f>H224</f>
        <v>1</v>
      </c>
      <c r="J224" s="81"/>
      <c r="K224" s="135"/>
      <c r="L224" s="130"/>
      <c r="M224" s="44"/>
      <c r="N224" s="32"/>
      <c r="O224" s="46"/>
      <c r="P224" s="44"/>
      <c r="Q224" s="67"/>
    </row>
    <row r="225" spans="1:21" ht="17.100000000000001" customHeight="1">
      <c r="A225" s="296"/>
      <c r="B225" s="37"/>
      <c r="C225" s="230"/>
      <c r="D225" s="32"/>
      <c r="E225" s="32"/>
      <c r="F225" s="32"/>
      <c r="G225" s="46"/>
      <c r="H225" s="46"/>
      <c r="I225" s="76"/>
      <c r="J225" s="81"/>
      <c r="K225" s="61"/>
      <c r="L225" s="68"/>
      <c r="M225" s="32"/>
      <c r="N225" s="32"/>
      <c r="O225" s="46"/>
      <c r="P225" s="44"/>
      <c r="Q225" s="67"/>
      <c r="T225">
        <v>14205</v>
      </c>
      <c r="U225">
        <v>11786</v>
      </c>
    </row>
    <row r="226" spans="1:21" ht="20.100000000000001" customHeight="1">
      <c r="A226" s="296"/>
      <c r="B226" s="37"/>
      <c r="C226" s="32"/>
      <c r="D226" s="32"/>
      <c r="E226" s="32"/>
      <c r="F226" s="32"/>
      <c r="G226" s="33"/>
      <c r="H226" s="33"/>
      <c r="I226" s="74"/>
      <c r="J226" s="81"/>
      <c r="K226" s="49" t="s">
        <v>70</v>
      </c>
      <c r="L226" s="32"/>
      <c r="M226" s="32"/>
      <c r="N226" s="32"/>
      <c r="O226" s="232">
        <f>O224</f>
        <v>0</v>
      </c>
      <c r="P226" s="232">
        <v>0</v>
      </c>
      <c r="Q226" s="232">
        <f>O226+P226</f>
        <v>0</v>
      </c>
      <c r="T226" t="e">
        <f>T225-#REF!</f>
        <v>#REF!</v>
      </c>
      <c r="U226" t="e">
        <f>U225-#REF!</f>
        <v>#REF!</v>
      </c>
    </row>
    <row r="227" spans="1:21" ht="20.100000000000001" customHeight="1">
      <c r="A227" s="296"/>
      <c r="B227" s="37"/>
      <c r="C227" s="32"/>
      <c r="D227" s="32"/>
      <c r="E227" s="32"/>
      <c r="F227" s="32"/>
      <c r="G227" s="233">
        <f>SUM(G222:G226)</f>
        <v>0</v>
      </c>
      <c r="H227" s="233">
        <f>SUM(H222:H226)</f>
        <v>41367</v>
      </c>
      <c r="I227" s="238">
        <f>SUM(I222:I226)</f>
        <v>41367</v>
      </c>
      <c r="J227" s="81"/>
      <c r="K227" s="49" t="s">
        <v>39</v>
      </c>
      <c r="L227" s="32"/>
      <c r="M227" s="32"/>
      <c r="N227" s="32"/>
      <c r="O227" s="237">
        <v>0</v>
      </c>
      <c r="P227" s="233">
        <f>H227-P226</f>
        <v>41367</v>
      </c>
      <c r="Q227" s="233">
        <f>I227-Q226</f>
        <v>41367</v>
      </c>
      <c r="T227">
        <v>1900</v>
      </c>
      <c r="U227">
        <v>1950</v>
      </c>
    </row>
    <row r="228" spans="1:21" ht="20.100000000000001" customHeight="1">
      <c r="A228" s="296"/>
      <c r="B228" s="37"/>
      <c r="C228" s="32"/>
      <c r="D228" s="32"/>
      <c r="E228" s="32"/>
      <c r="F228" s="32"/>
      <c r="G228" s="32"/>
      <c r="H228" s="32"/>
      <c r="I228" s="78"/>
      <c r="J228" s="81"/>
      <c r="K228" s="49" t="s">
        <v>40</v>
      </c>
      <c r="L228" s="32"/>
      <c r="M228" s="32"/>
      <c r="N228" s="32"/>
      <c r="O228" s="51">
        <f>O226</f>
        <v>0</v>
      </c>
      <c r="P228" s="51">
        <f>P226+P227</f>
        <v>41367</v>
      </c>
      <c r="Q228" s="51">
        <f>Q226+Q227</f>
        <v>41367</v>
      </c>
      <c r="T228" t="e">
        <f>T226-T227</f>
        <v>#REF!</v>
      </c>
      <c r="U228" t="e">
        <f>U226-U227</f>
        <v>#REF!</v>
      </c>
    </row>
    <row r="229" spans="1:21" ht="63.6" customHeight="1">
      <c r="A229" s="296"/>
      <c r="B229" s="63"/>
      <c r="C229" s="63"/>
      <c r="D229" s="32"/>
      <c r="E229" s="32"/>
      <c r="F229" s="32"/>
      <c r="G229" s="32"/>
      <c r="H229" s="32"/>
      <c r="I229" s="78"/>
      <c r="J229" s="80"/>
      <c r="K229" s="32"/>
      <c r="L229" s="32"/>
      <c r="M229" s="32"/>
      <c r="N229" s="32"/>
      <c r="O229" s="32"/>
      <c r="P229" s="32"/>
      <c r="Q229" s="32"/>
    </row>
    <row r="230" spans="1:21" ht="45" customHeight="1">
      <c r="A230" s="296"/>
      <c r="B230" s="57" t="s">
        <v>287</v>
      </c>
      <c r="C230" s="25" t="s">
        <v>26</v>
      </c>
      <c r="D230" s="32"/>
      <c r="E230" s="32"/>
      <c r="F230" s="32"/>
      <c r="G230" s="46">
        <v>0</v>
      </c>
      <c r="H230" s="46">
        <f>P227</f>
        <v>41367</v>
      </c>
      <c r="I230" s="76">
        <f>G230+H230</f>
        <v>41367</v>
      </c>
      <c r="J230" s="80" t="str">
        <f>B230</f>
        <v>21/03/2025</v>
      </c>
      <c r="K230" s="60" t="s">
        <v>288</v>
      </c>
      <c r="L230" s="129" t="s">
        <v>291</v>
      </c>
      <c r="M230" s="126" t="s">
        <v>290</v>
      </c>
      <c r="N230" s="32"/>
      <c r="O230" s="46">
        <v>0</v>
      </c>
      <c r="P230" s="46">
        <v>10000</v>
      </c>
      <c r="Q230" s="46">
        <f>P230</f>
        <v>10000</v>
      </c>
    </row>
    <row r="231" spans="1:21" ht="27.75" customHeight="1">
      <c r="A231" s="296"/>
      <c r="B231" s="37"/>
      <c r="C231" s="32"/>
      <c r="D231" s="32"/>
      <c r="E231" s="32"/>
      <c r="F231" s="32"/>
      <c r="G231" s="33"/>
      <c r="H231" s="33"/>
      <c r="I231" s="74"/>
      <c r="J231" s="81"/>
      <c r="K231" s="161" t="s">
        <v>289</v>
      </c>
      <c r="L231" s="130"/>
      <c r="M231" s="32"/>
      <c r="N231" s="32"/>
      <c r="O231" s="33"/>
      <c r="P231" s="33"/>
      <c r="Q231" s="39"/>
    </row>
    <row r="232" spans="1:21" ht="17.100000000000001" customHeight="1">
      <c r="A232" s="296"/>
      <c r="B232" s="37"/>
      <c r="C232" s="48"/>
      <c r="D232" s="32"/>
      <c r="E232" s="32"/>
      <c r="F232" s="32"/>
      <c r="G232" s="44"/>
      <c r="H232" s="46"/>
      <c r="I232" s="137"/>
      <c r="J232" s="81"/>
      <c r="K232" s="61"/>
      <c r="L232" s="57"/>
      <c r="M232" s="32"/>
      <c r="N232" s="32"/>
      <c r="O232" s="46"/>
      <c r="P232" s="44"/>
      <c r="Q232" s="67"/>
    </row>
    <row r="233" spans="1:21" ht="17.100000000000001" customHeight="1">
      <c r="A233" s="296"/>
      <c r="B233" s="37"/>
      <c r="C233" s="32"/>
      <c r="D233" s="32"/>
      <c r="E233" s="32"/>
      <c r="F233" s="32"/>
      <c r="G233" s="44"/>
      <c r="H233" s="46"/>
      <c r="I233" s="76"/>
      <c r="J233" s="81"/>
      <c r="K233" s="61"/>
      <c r="L233" s="68"/>
      <c r="M233" s="32"/>
      <c r="N233" s="32"/>
      <c r="O233" s="46"/>
      <c r="P233" s="44"/>
      <c r="Q233" s="67"/>
    </row>
    <row r="234" spans="1:21" ht="17.100000000000001" customHeight="1">
      <c r="A234" s="296"/>
      <c r="B234" s="37"/>
      <c r="C234" s="48"/>
      <c r="D234" s="32"/>
      <c r="E234" s="32"/>
      <c r="F234" s="32"/>
      <c r="G234" s="46"/>
      <c r="H234" s="46"/>
      <c r="I234" s="76"/>
      <c r="J234" s="81"/>
      <c r="K234" s="61"/>
      <c r="L234" s="57"/>
      <c r="M234" s="32"/>
      <c r="N234" s="32"/>
      <c r="O234" s="46"/>
      <c r="P234" s="44"/>
      <c r="Q234" s="67"/>
    </row>
    <row r="235" spans="1:21" ht="20.100000000000001" customHeight="1">
      <c r="A235" s="296"/>
      <c r="B235" s="37"/>
      <c r="C235" s="32"/>
      <c r="D235" s="32"/>
      <c r="E235" s="32"/>
      <c r="F235" s="32"/>
      <c r="G235" s="33"/>
      <c r="H235" s="33"/>
      <c r="I235" s="74"/>
      <c r="J235" s="81"/>
      <c r="K235" s="49" t="s">
        <v>70</v>
      </c>
      <c r="L235" s="32"/>
      <c r="M235" s="32"/>
      <c r="N235" s="32"/>
      <c r="O235" s="232">
        <v>0</v>
      </c>
      <c r="P235" s="232">
        <f>P230+O232+O231+O233+O234-O235</f>
        <v>10000</v>
      </c>
      <c r="Q235" s="232">
        <f>O235+P235</f>
        <v>10000</v>
      </c>
    </row>
    <row r="236" spans="1:21" ht="20.100000000000001" customHeight="1">
      <c r="A236" s="296"/>
      <c r="B236" s="37"/>
      <c r="C236" s="32"/>
      <c r="D236" s="32"/>
      <c r="E236" s="32"/>
      <c r="F236" s="32"/>
      <c r="G236" s="233">
        <f>SUM(G230:G235)</f>
        <v>0</v>
      </c>
      <c r="H236" s="233">
        <f>SUM(H230:H235)</f>
        <v>41367</v>
      </c>
      <c r="I236" s="238">
        <f>SUM(I230:I235)</f>
        <v>41367</v>
      </c>
      <c r="J236" s="81"/>
      <c r="K236" s="49" t="s">
        <v>39</v>
      </c>
      <c r="L236" s="32"/>
      <c r="M236" s="32"/>
      <c r="N236" s="32"/>
      <c r="O236" s="237">
        <v>0</v>
      </c>
      <c r="P236" s="233">
        <f>H236-P235</f>
        <v>31367</v>
      </c>
      <c r="Q236" s="233">
        <f>I236-Q235</f>
        <v>31367</v>
      </c>
    </row>
    <row r="237" spans="1:21" ht="20.100000000000001" customHeight="1">
      <c r="A237" s="296"/>
      <c r="B237" s="37"/>
      <c r="C237" s="32"/>
      <c r="D237" s="32"/>
      <c r="E237" s="32"/>
      <c r="F237" s="32"/>
      <c r="G237" s="32"/>
      <c r="H237" s="32"/>
      <c r="I237" s="78"/>
      <c r="J237" s="81"/>
      <c r="K237" s="49" t="s">
        <v>40</v>
      </c>
      <c r="L237" s="32"/>
      <c r="M237" s="32"/>
      <c r="N237" s="32"/>
      <c r="O237" s="234">
        <f>O235</f>
        <v>0</v>
      </c>
      <c r="P237" s="234">
        <f>P235+P236</f>
        <v>41367</v>
      </c>
      <c r="Q237" s="234">
        <f>Q235+Q236</f>
        <v>41367</v>
      </c>
    </row>
    <row r="238" spans="1:21" ht="36" customHeight="1">
      <c r="A238" s="296"/>
      <c r="B238" s="291"/>
      <c r="C238" s="292"/>
      <c r="D238" s="292"/>
      <c r="E238" s="292"/>
      <c r="F238" s="292"/>
      <c r="G238" s="292"/>
      <c r="H238" s="292"/>
      <c r="I238" s="292"/>
      <c r="J238" s="291"/>
      <c r="K238" s="293"/>
      <c r="L238" s="292"/>
      <c r="M238" s="292"/>
      <c r="N238" s="292"/>
      <c r="O238" s="294"/>
      <c r="P238" s="294"/>
      <c r="Q238" s="294"/>
    </row>
    <row r="239" spans="1:21" ht="42.6" customHeight="1">
      <c r="A239" s="296"/>
      <c r="B239" s="318" t="s">
        <v>259</v>
      </c>
      <c r="C239" s="319"/>
      <c r="D239" s="319"/>
      <c r="E239" s="319"/>
      <c r="F239" s="319"/>
      <c r="G239" s="319"/>
      <c r="H239" s="319"/>
      <c r="I239" s="319"/>
      <c r="J239" s="319"/>
      <c r="K239" s="319"/>
      <c r="L239" s="319"/>
      <c r="M239" s="319"/>
      <c r="N239" s="319"/>
      <c r="O239" s="319"/>
      <c r="P239" s="319"/>
      <c r="Q239" s="319"/>
    </row>
    <row r="240" spans="1:21" ht="43.5" customHeight="1">
      <c r="A240" s="296"/>
      <c r="B240" s="320"/>
      <c r="C240" s="320"/>
      <c r="D240" s="320"/>
      <c r="E240" s="320"/>
      <c r="F240" s="320"/>
      <c r="G240" s="320"/>
      <c r="H240" s="320"/>
      <c r="I240" s="321"/>
      <c r="J240" s="322"/>
      <c r="K240" s="323"/>
      <c r="L240" s="323"/>
      <c r="M240" s="323"/>
      <c r="N240" s="323"/>
      <c r="O240" s="323"/>
      <c r="P240" s="323"/>
      <c r="Q240" s="323"/>
    </row>
    <row r="241" spans="1:21" ht="66" customHeight="1">
      <c r="A241" s="296"/>
      <c r="B241" s="27" t="s">
        <v>19</v>
      </c>
      <c r="C241" s="27" t="s">
        <v>29</v>
      </c>
      <c r="D241" s="28" t="s">
        <v>30</v>
      </c>
      <c r="E241" s="28" t="s">
        <v>31</v>
      </c>
      <c r="F241" s="28" t="s">
        <v>32</v>
      </c>
      <c r="G241" s="27" t="s">
        <v>33</v>
      </c>
      <c r="H241" s="27" t="s">
        <v>34</v>
      </c>
      <c r="I241" s="73" t="s">
        <v>35</v>
      </c>
      <c r="J241" s="79" t="s">
        <v>19</v>
      </c>
      <c r="K241" s="27" t="s">
        <v>69</v>
      </c>
      <c r="L241" s="28" t="s">
        <v>36</v>
      </c>
      <c r="M241" s="28" t="s">
        <v>37</v>
      </c>
      <c r="N241" s="28" t="s">
        <v>32</v>
      </c>
      <c r="O241" s="27" t="s">
        <v>33</v>
      </c>
      <c r="P241" s="27" t="s">
        <v>34</v>
      </c>
      <c r="Q241" s="27" t="s">
        <v>35</v>
      </c>
    </row>
    <row r="242" spans="1:21" ht="45" customHeight="1">
      <c r="A242" s="296"/>
      <c r="B242" s="57" t="s">
        <v>293</v>
      </c>
      <c r="C242" s="25" t="s">
        <v>26</v>
      </c>
      <c r="D242" s="32"/>
      <c r="E242" s="32"/>
      <c r="F242" s="32"/>
      <c r="G242" s="46">
        <v>0</v>
      </c>
      <c r="H242" s="46">
        <f>P236</f>
        <v>31367</v>
      </c>
      <c r="I242" s="76">
        <f>G242+H242</f>
        <v>31367</v>
      </c>
      <c r="J242" s="80" t="str">
        <f>B242</f>
        <v>25/03/2025</v>
      </c>
      <c r="K242" s="60" t="s">
        <v>292</v>
      </c>
      <c r="L242" s="129" t="s">
        <v>294</v>
      </c>
      <c r="M242" s="126" t="s">
        <v>295</v>
      </c>
      <c r="N242" s="32"/>
      <c r="O242" s="46">
        <v>0</v>
      </c>
      <c r="P242" s="46">
        <v>7800</v>
      </c>
      <c r="Q242" s="46">
        <f>P242</f>
        <v>7800</v>
      </c>
    </row>
    <row r="243" spans="1:21" ht="17.100000000000001" customHeight="1">
      <c r="A243" s="296"/>
      <c r="B243" s="37"/>
      <c r="C243" s="32"/>
      <c r="D243" s="32"/>
      <c r="E243" s="32"/>
      <c r="F243" s="32"/>
      <c r="G243" s="33"/>
      <c r="H243" s="33"/>
      <c r="I243" s="74"/>
      <c r="J243" s="81"/>
      <c r="K243" s="128" t="s">
        <v>296</v>
      </c>
      <c r="L243" s="83"/>
      <c r="M243" s="44"/>
      <c r="N243" s="32"/>
      <c r="O243" s="33"/>
      <c r="P243" s="33"/>
      <c r="Q243" s="39"/>
    </row>
    <row r="244" spans="1:21" ht="17.100000000000001" customHeight="1">
      <c r="A244" s="296"/>
      <c r="B244" s="37"/>
      <c r="C244" s="62"/>
      <c r="D244" s="32"/>
      <c r="E244" s="32"/>
      <c r="F244" s="32"/>
      <c r="G244" s="40"/>
      <c r="H244" s="41"/>
      <c r="I244" s="75"/>
      <c r="J244" s="81"/>
      <c r="K244" s="135"/>
      <c r="L244" s="130"/>
      <c r="M244" s="44"/>
      <c r="N244" s="32"/>
      <c r="O244" s="46"/>
      <c r="P244" s="44"/>
      <c r="Q244" s="67"/>
    </row>
    <row r="245" spans="1:21" ht="17.100000000000001" customHeight="1">
      <c r="A245" s="296"/>
      <c r="B245" s="37"/>
      <c r="C245" s="230"/>
      <c r="D245" s="32"/>
      <c r="E245" s="32"/>
      <c r="F245" s="32"/>
      <c r="G245" s="46"/>
      <c r="H245" s="46"/>
      <c r="I245" s="76"/>
      <c r="J245" s="81"/>
      <c r="K245" s="61"/>
      <c r="L245" s="68"/>
      <c r="M245" s="32"/>
      <c r="N245" s="32"/>
      <c r="O245" s="46"/>
      <c r="P245" s="44"/>
      <c r="Q245" s="67"/>
      <c r="T245">
        <v>14205</v>
      </c>
      <c r="U245">
        <v>11786</v>
      </c>
    </row>
    <row r="246" spans="1:21" ht="20.100000000000001" customHeight="1">
      <c r="A246" s="296"/>
      <c r="B246" s="37"/>
      <c r="C246" s="32"/>
      <c r="D246" s="32"/>
      <c r="E246" s="32"/>
      <c r="F246" s="32"/>
      <c r="G246" s="33"/>
      <c r="H246" s="33"/>
      <c r="I246" s="74"/>
      <c r="J246" s="81"/>
      <c r="K246" s="49" t="s">
        <v>70</v>
      </c>
      <c r="L246" s="32"/>
      <c r="M246" s="32"/>
      <c r="N246" s="32"/>
      <c r="O246" s="232">
        <f>O244</f>
        <v>0</v>
      </c>
      <c r="P246" s="232">
        <v>7800</v>
      </c>
      <c r="Q246" s="232">
        <f>O246+P246</f>
        <v>7800</v>
      </c>
      <c r="T246" t="e">
        <f>T245-#REF!</f>
        <v>#REF!</v>
      </c>
      <c r="U246" t="e">
        <f>U245-#REF!</f>
        <v>#REF!</v>
      </c>
    </row>
    <row r="247" spans="1:21" ht="20.100000000000001" customHeight="1">
      <c r="A247" s="296"/>
      <c r="B247" s="37"/>
      <c r="C247" s="32"/>
      <c r="D247" s="32"/>
      <c r="E247" s="32"/>
      <c r="F247" s="32"/>
      <c r="G247" s="233">
        <f>SUM(G242:G246)</f>
        <v>0</v>
      </c>
      <c r="H247" s="233">
        <f>SUM(H242:H246)</f>
        <v>31367</v>
      </c>
      <c r="I247" s="238">
        <f>SUM(I242:I246)</f>
        <v>31367</v>
      </c>
      <c r="J247" s="81"/>
      <c r="K247" s="49" t="s">
        <v>39</v>
      </c>
      <c r="L247" s="32"/>
      <c r="M247" s="32"/>
      <c r="N247" s="32"/>
      <c r="O247" s="237">
        <v>0</v>
      </c>
      <c r="P247" s="233">
        <f>H247-P246</f>
        <v>23567</v>
      </c>
      <c r="Q247" s="233">
        <f>I247-Q246</f>
        <v>23567</v>
      </c>
      <c r="T247">
        <v>1900</v>
      </c>
      <c r="U247">
        <v>1950</v>
      </c>
    </row>
    <row r="248" spans="1:21" ht="20.100000000000001" customHeight="1">
      <c r="A248" s="296"/>
      <c r="B248" s="37"/>
      <c r="C248" s="32"/>
      <c r="D248" s="32"/>
      <c r="E248" s="32"/>
      <c r="F248" s="32"/>
      <c r="G248" s="32"/>
      <c r="H248" s="32"/>
      <c r="I248" s="78"/>
      <c r="J248" s="81"/>
      <c r="K248" s="49" t="s">
        <v>40</v>
      </c>
      <c r="L248" s="32"/>
      <c r="M248" s="32"/>
      <c r="N248" s="32"/>
      <c r="O248" s="51">
        <f>O246</f>
        <v>0</v>
      </c>
      <c r="P248" s="51">
        <f>P246+P247</f>
        <v>31367</v>
      </c>
      <c r="Q248" s="51">
        <f>Q246+Q247</f>
        <v>31367</v>
      </c>
      <c r="T248" t="e">
        <f>T246-T247</f>
        <v>#REF!</v>
      </c>
      <c r="U248" t="e">
        <f>U246-U247</f>
        <v>#REF!</v>
      </c>
    </row>
    <row r="249" spans="1:21" ht="63.6" customHeight="1">
      <c r="A249" s="296"/>
      <c r="B249" s="63"/>
      <c r="C249" s="63"/>
      <c r="D249" s="32"/>
      <c r="E249" s="32"/>
      <c r="F249" s="32"/>
      <c r="G249" s="32"/>
      <c r="H249" s="32"/>
      <c r="I249" s="78"/>
      <c r="J249" s="80"/>
      <c r="K249" s="32"/>
      <c r="L249" s="32"/>
      <c r="M249" s="32"/>
      <c r="N249" s="32"/>
      <c r="O249" s="32"/>
      <c r="P249" s="32"/>
      <c r="Q249" s="32"/>
    </row>
    <row r="250" spans="1:21" ht="45" customHeight="1">
      <c r="A250" s="296"/>
      <c r="B250" s="57" t="s">
        <v>219</v>
      </c>
      <c r="C250" s="25" t="s">
        <v>26</v>
      </c>
      <c r="D250" s="32"/>
      <c r="E250" s="32"/>
      <c r="F250" s="32"/>
      <c r="G250" s="46">
        <v>0</v>
      </c>
      <c r="H250" s="46">
        <f>P247</f>
        <v>23567</v>
      </c>
      <c r="I250" s="76">
        <f>G250+H250</f>
        <v>23567</v>
      </c>
      <c r="J250" s="80" t="str">
        <f>B250</f>
        <v>26/03/2025</v>
      </c>
      <c r="K250" s="60" t="s">
        <v>292</v>
      </c>
      <c r="L250" s="129" t="s">
        <v>298</v>
      </c>
      <c r="M250" s="126" t="s">
        <v>297</v>
      </c>
      <c r="N250" s="32"/>
      <c r="O250" s="46">
        <v>0</v>
      </c>
      <c r="P250" s="46">
        <v>15425</v>
      </c>
      <c r="Q250" s="46">
        <f>P250</f>
        <v>15425</v>
      </c>
    </row>
    <row r="251" spans="1:21" ht="27.75" customHeight="1">
      <c r="A251" s="296"/>
      <c r="B251" s="37"/>
      <c r="C251" s="32"/>
      <c r="D251" s="32"/>
      <c r="E251" s="32"/>
      <c r="F251" s="32"/>
      <c r="G251" s="33"/>
      <c r="H251" s="33"/>
      <c r="I251" s="74"/>
      <c r="J251" s="81"/>
      <c r="K251" s="128" t="s">
        <v>299</v>
      </c>
      <c r="L251" s="83"/>
      <c r="M251" s="44"/>
      <c r="N251" s="32"/>
      <c r="O251" s="33"/>
      <c r="P251" s="33"/>
      <c r="Q251" s="39"/>
    </row>
    <row r="252" spans="1:21" ht="17.100000000000001" customHeight="1">
      <c r="A252" s="296"/>
      <c r="B252" s="37"/>
      <c r="C252" s="48"/>
      <c r="D252" s="32"/>
      <c r="E252" s="32"/>
      <c r="F252" s="32"/>
      <c r="G252" s="44"/>
      <c r="H252" s="46"/>
      <c r="I252" s="137"/>
      <c r="J252" s="81"/>
      <c r="K252" s="61"/>
      <c r="L252" s="57"/>
      <c r="M252" s="32"/>
      <c r="N252" s="32"/>
      <c r="O252" s="46"/>
      <c r="P252" s="44"/>
      <c r="Q252" s="67"/>
    </row>
    <row r="253" spans="1:21" ht="17.100000000000001" customHeight="1">
      <c r="A253" s="296"/>
      <c r="B253" s="37"/>
      <c r="C253" s="32"/>
      <c r="D253" s="32"/>
      <c r="E253" s="32"/>
      <c r="F253" s="32"/>
      <c r="G253" s="44"/>
      <c r="H253" s="46"/>
      <c r="I253" s="76"/>
      <c r="J253" s="81"/>
      <c r="K253" s="61"/>
      <c r="L253" s="68"/>
      <c r="M253" s="32"/>
      <c r="N253" s="32"/>
      <c r="O253" s="46"/>
      <c r="P253" s="44"/>
      <c r="Q253" s="67"/>
    </row>
    <row r="254" spans="1:21" ht="17.100000000000001" customHeight="1">
      <c r="A254" s="296"/>
      <c r="B254" s="37"/>
      <c r="C254" s="48"/>
      <c r="D254" s="32"/>
      <c r="E254" s="32"/>
      <c r="F254" s="32"/>
      <c r="G254" s="46"/>
      <c r="H254" s="46"/>
      <c r="I254" s="76"/>
      <c r="J254" s="81"/>
      <c r="K254" s="61"/>
      <c r="L254" s="57"/>
      <c r="M254" s="32"/>
      <c r="N254" s="32"/>
      <c r="O254" s="46"/>
      <c r="P254" s="44"/>
      <c r="Q254" s="67"/>
    </row>
    <row r="255" spans="1:21" ht="20.100000000000001" customHeight="1">
      <c r="A255" s="296"/>
      <c r="B255" s="37"/>
      <c r="C255" s="32"/>
      <c r="D255" s="32"/>
      <c r="E255" s="32"/>
      <c r="F255" s="32"/>
      <c r="G255" s="33"/>
      <c r="H255" s="33"/>
      <c r="I255" s="74"/>
      <c r="J255" s="81"/>
      <c r="K255" s="49" t="s">
        <v>70</v>
      </c>
      <c r="L255" s="32"/>
      <c r="M255" s="32"/>
      <c r="N255" s="32"/>
      <c r="O255" s="232">
        <v>0</v>
      </c>
      <c r="P255" s="232">
        <f>P250+O252+O251+O253+O254-O255</f>
        <v>15425</v>
      </c>
      <c r="Q255" s="232">
        <f>O255+P255</f>
        <v>15425</v>
      </c>
    </row>
    <row r="256" spans="1:21" ht="20.100000000000001" customHeight="1">
      <c r="A256" s="296"/>
      <c r="B256" s="37"/>
      <c r="C256" s="32"/>
      <c r="D256" s="32"/>
      <c r="E256" s="32"/>
      <c r="F256" s="32"/>
      <c r="G256" s="233">
        <f>SUM(G250:G255)</f>
        <v>0</v>
      </c>
      <c r="H256" s="233">
        <f>SUM(H250:H255)</f>
        <v>23567</v>
      </c>
      <c r="I256" s="238">
        <f>SUM(I250:I255)</f>
        <v>23567</v>
      </c>
      <c r="J256" s="81"/>
      <c r="K256" s="49" t="s">
        <v>39</v>
      </c>
      <c r="L256" s="32"/>
      <c r="M256" s="32"/>
      <c r="N256" s="32"/>
      <c r="O256" s="237">
        <v>0</v>
      </c>
      <c r="P256" s="233">
        <f>H256-P255</f>
        <v>8142</v>
      </c>
      <c r="Q256" s="233">
        <f>I256-Q255</f>
        <v>8142</v>
      </c>
    </row>
    <row r="257" spans="1:21" ht="20.100000000000001" customHeight="1">
      <c r="A257" s="296"/>
      <c r="B257" s="37"/>
      <c r="C257" s="32"/>
      <c r="D257" s="32"/>
      <c r="E257" s="32"/>
      <c r="F257" s="32"/>
      <c r="G257" s="32"/>
      <c r="H257" s="32"/>
      <c r="I257" s="78"/>
      <c r="J257" s="81"/>
      <c r="K257" s="49" t="s">
        <v>40</v>
      </c>
      <c r="L257" s="32"/>
      <c r="M257" s="32"/>
      <c r="N257" s="32"/>
      <c r="O257" s="234">
        <f>O255</f>
        <v>0</v>
      </c>
      <c r="P257" s="234">
        <f>P255+P256</f>
        <v>23567</v>
      </c>
      <c r="Q257" s="234">
        <f>Q255+Q256</f>
        <v>23567</v>
      </c>
    </row>
    <row r="258" spans="1:21" ht="36" customHeight="1">
      <c r="A258" s="296"/>
      <c r="B258" s="291"/>
      <c r="C258" s="292"/>
      <c r="D258" s="292"/>
      <c r="E258" s="292"/>
      <c r="F258" s="292"/>
      <c r="G258" s="292"/>
      <c r="H258" s="292"/>
      <c r="I258" s="292"/>
      <c r="J258" s="291"/>
      <c r="K258" s="293"/>
      <c r="L258" s="292"/>
      <c r="M258" s="292"/>
      <c r="N258" s="292"/>
      <c r="O258" s="294"/>
      <c r="P258" s="294"/>
      <c r="Q258" s="294"/>
    </row>
    <row r="259" spans="1:21" ht="42.6" customHeight="1">
      <c r="A259" s="296">
        <f ca="1">A259:Q279</f>
        <v>0</v>
      </c>
      <c r="B259" s="318" t="s">
        <v>259</v>
      </c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</row>
    <row r="260" spans="1:21" ht="43.5" customHeight="1">
      <c r="A260" s="296"/>
      <c r="B260" s="321"/>
      <c r="C260" s="327"/>
      <c r="D260" s="327"/>
      <c r="E260" s="327"/>
      <c r="F260" s="327"/>
      <c r="G260" s="327"/>
      <c r="H260" s="327"/>
      <c r="I260" s="328"/>
      <c r="J260" s="324"/>
      <c r="K260" s="325"/>
      <c r="L260" s="325"/>
      <c r="M260" s="325"/>
      <c r="N260" s="325"/>
      <c r="O260" s="325"/>
      <c r="P260" s="325"/>
      <c r="Q260" s="326"/>
    </row>
    <row r="261" spans="1:21" ht="66" customHeight="1">
      <c r="A261" s="296"/>
      <c r="B261" s="27" t="s">
        <v>19</v>
      </c>
      <c r="C261" s="27" t="s">
        <v>29</v>
      </c>
      <c r="D261" s="28" t="s">
        <v>30</v>
      </c>
      <c r="E261" s="28" t="s">
        <v>31</v>
      </c>
      <c r="F261" s="28" t="s">
        <v>32</v>
      </c>
      <c r="G261" s="27" t="s">
        <v>33</v>
      </c>
      <c r="H261" s="27" t="s">
        <v>34</v>
      </c>
      <c r="I261" s="73" t="s">
        <v>35</v>
      </c>
      <c r="J261" s="79" t="s">
        <v>19</v>
      </c>
      <c r="K261" s="27" t="s">
        <v>69</v>
      </c>
      <c r="L261" s="28" t="s">
        <v>36</v>
      </c>
      <c r="M261" s="28" t="s">
        <v>37</v>
      </c>
      <c r="N261" s="28" t="s">
        <v>32</v>
      </c>
      <c r="O261" s="27" t="s">
        <v>33</v>
      </c>
      <c r="P261" s="27" t="s">
        <v>34</v>
      </c>
      <c r="Q261" s="27" t="s">
        <v>35</v>
      </c>
    </row>
    <row r="262" spans="1:21" ht="45" customHeight="1">
      <c r="A262" s="296"/>
      <c r="B262" s="57" t="s">
        <v>219</v>
      </c>
      <c r="C262" s="25" t="s">
        <v>26</v>
      </c>
      <c r="D262" s="32"/>
      <c r="E262" s="32"/>
      <c r="F262" s="32"/>
      <c r="G262" s="46">
        <v>0</v>
      </c>
      <c r="H262" s="46">
        <f>P256</f>
        <v>8142</v>
      </c>
      <c r="I262" s="76">
        <f>G262+H262</f>
        <v>8142</v>
      </c>
      <c r="J262" s="80" t="str">
        <f>B262</f>
        <v>26/03/2025</v>
      </c>
      <c r="K262" s="60" t="s">
        <v>38</v>
      </c>
      <c r="L262" s="129"/>
      <c r="M262" s="126"/>
      <c r="N262" s="32"/>
      <c r="O262" s="46">
        <v>0</v>
      </c>
      <c r="P262" s="46">
        <v>0</v>
      </c>
      <c r="Q262" s="46">
        <f>P262</f>
        <v>0</v>
      </c>
    </row>
    <row r="263" spans="1:21" ht="17.100000000000001" customHeight="1">
      <c r="A263" s="296"/>
      <c r="B263" s="37"/>
      <c r="C263" s="32"/>
      <c r="D263" s="32"/>
      <c r="E263" s="32"/>
      <c r="F263" s="32"/>
      <c r="G263" s="44"/>
      <c r="H263" s="46"/>
      <c r="I263" s="76"/>
      <c r="J263" s="81"/>
      <c r="K263" s="128"/>
      <c r="L263" s="68"/>
      <c r="M263" s="32"/>
      <c r="N263" s="32"/>
      <c r="O263" s="46"/>
      <c r="P263" s="44"/>
      <c r="Q263" s="67"/>
    </row>
    <row r="264" spans="1:21" ht="17.100000000000001" customHeight="1">
      <c r="A264" s="296"/>
      <c r="B264" s="37"/>
      <c r="C264" s="62" t="s">
        <v>220</v>
      </c>
      <c r="D264" s="32"/>
      <c r="E264" s="32"/>
      <c r="F264" s="32"/>
      <c r="G264" s="40"/>
      <c r="H264" s="41">
        <v>500</v>
      </c>
      <c r="I264" s="75">
        <f>H264</f>
        <v>500</v>
      </c>
      <c r="J264" s="81"/>
      <c r="K264" s="61"/>
      <c r="L264" s="130"/>
      <c r="M264" s="32"/>
      <c r="N264" s="32"/>
      <c r="O264" s="46"/>
      <c r="P264" s="44"/>
      <c r="Q264" s="67"/>
    </row>
    <row r="265" spans="1:21" ht="17.100000000000001" customHeight="1">
      <c r="A265" s="296"/>
      <c r="B265" s="37"/>
      <c r="C265" s="62" t="s">
        <v>88</v>
      </c>
      <c r="D265" s="32"/>
      <c r="E265" s="32"/>
      <c r="F265" s="32"/>
      <c r="G265" s="40"/>
      <c r="H265" s="41">
        <v>500</v>
      </c>
      <c r="I265" s="75">
        <f>H265</f>
        <v>500</v>
      </c>
      <c r="J265" s="81"/>
      <c r="K265" s="61"/>
      <c r="L265" s="68"/>
      <c r="M265" s="32"/>
      <c r="N265" s="32"/>
      <c r="O265" s="46"/>
      <c r="P265" s="44"/>
      <c r="Q265" s="67"/>
    </row>
    <row r="266" spans="1:21" ht="17.100000000000001" customHeight="1">
      <c r="A266" s="296"/>
      <c r="B266" s="37"/>
      <c r="C266" s="48"/>
      <c r="D266" s="32"/>
      <c r="E266" s="32"/>
      <c r="F266" s="32"/>
      <c r="G266" s="46"/>
      <c r="H266" s="46"/>
      <c r="I266" s="76"/>
      <c r="J266" s="81"/>
      <c r="K266" s="61"/>
      <c r="L266" s="57"/>
      <c r="M266" s="32"/>
      <c r="N266" s="32"/>
      <c r="O266" s="46"/>
      <c r="P266" s="44"/>
      <c r="Q266" s="67"/>
      <c r="T266">
        <v>6000</v>
      </c>
      <c r="U266">
        <v>7900</v>
      </c>
    </row>
    <row r="267" spans="1:21" ht="20.100000000000001" customHeight="1">
      <c r="A267" s="296"/>
      <c r="B267" s="37"/>
      <c r="C267" s="32"/>
      <c r="D267" s="32"/>
      <c r="E267" s="32"/>
      <c r="F267" s="32"/>
      <c r="G267" s="33"/>
      <c r="H267" s="33"/>
      <c r="I267" s="74"/>
      <c r="J267" s="81"/>
      <c r="K267" s="49" t="s">
        <v>70</v>
      </c>
      <c r="L267" s="32"/>
      <c r="M267" s="32"/>
      <c r="N267" s="32"/>
      <c r="O267" s="236">
        <f>SUM(O262:O266)</f>
        <v>0</v>
      </c>
      <c r="P267" s="232">
        <f>SUM(P262:P266)</f>
        <v>0</v>
      </c>
      <c r="Q267" s="232">
        <f>O267+P267</f>
        <v>0</v>
      </c>
      <c r="T267" t="e">
        <f>#REF!-T266</f>
        <v>#REF!</v>
      </c>
      <c r="U267" t="e">
        <f>#REF!-U266</f>
        <v>#REF!</v>
      </c>
    </row>
    <row r="268" spans="1:21" ht="20.100000000000001" customHeight="1">
      <c r="A268" s="296"/>
      <c r="B268" s="37"/>
      <c r="C268" s="32"/>
      <c r="D268" s="32"/>
      <c r="E268" s="32"/>
      <c r="F268" s="32"/>
      <c r="G268" s="233">
        <f>SUM(G262:G267)</f>
        <v>0</v>
      </c>
      <c r="H268" s="233">
        <f>SUM(H262:H267)</f>
        <v>9142</v>
      </c>
      <c r="I268" s="238">
        <f>SUM(I262:I267)</f>
        <v>9142</v>
      </c>
      <c r="J268" s="81"/>
      <c r="K268" s="49" t="s">
        <v>39</v>
      </c>
      <c r="L268" s="32"/>
      <c r="M268" s="32"/>
      <c r="N268" s="32"/>
      <c r="O268" s="237">
        <v>0</v>
      </c>
      <c r="P268" s="233">
        <f>H268-P267</f>
        <v>9142</v>
      </c>
      <c r="Q268" s="233">
        <f>I268-Q267</f>
        <v>9142</v>
      </c>
      <c r="T268">
        <v>1900</v>
      </c>
      <c r="U268">
        <v>1950</v>
      </c>
    </row>
    <row r="269" spans="1:21" ht="20.100000000000001" customHeight="1">
      <c r="A269" s="296"/>
      <c r="B269" s="37"/>
      <c r="C269" s="32"/>
      <c r="D269" s="32"/>
      <c r="E269" s="32"/>
      <c r="F269" s="32"/>
      <c r="G269" s="32"/>
      <c r="H269" s="32"/>
      <c r="I269" s="78"/>
      <c r="J269" s="81"/>
      <c r="K269" s="49" t="s">
        <v>40</v>
      </c>
      <c r="L269" s="32"/>
      <c r="M269" s="32"/>
      <c r="N269" s="32"/>
      <c r="O269" s="235">
        <f>O267</f>
        <v>0</v>
      </c>
      <c r="P269" s="234">
        <f>P267+P268</f>
        <v>9142</v>
      </c>
      <c r="Q269" s="234">
        <f>Q267+Q268</f>
        <v>9142</v>
      </c>
      <c r="T269" t="e">
        <f>T267-T268</f>
        <v>#REF!</v>
      </c>
      <c r="U269" t="e">
        <f>U267-U268</f>
        <v>#REF!</v>
      </c>
    </row>
    <row r="270" spans="1:21" ht="48.75" customHeight="1">
      <c r="A270" s="296"/>
      <c r="B270" s="158"/>
      <c r="C270" s="163"/>
      <c r="D270" s="163"/>
      <c r="E270" s="163"/>
      <c r="F270" s="163"/>
      <c r="G270" s="163"/>
      <c r="H270" s="163"/>
      <c r="I270" s="163"/>
      <c r="J270" s="159"/>
      <c r="K270" s="164"/>
      <c r="L270" s="163"/>
      <c r="M270" s="163"/>
      <c r="N270" s="163"/>
      <c r="O270" s="165"/>
      <c r="P270" s="166"/>
      <c r="Q270" s="167"/>
    </row>
    <row r="271" spans="1:21" ht="45" customHeight="1">
      <c r="A271" s="296"/>
      <c r="B271" s="57" t="s">
        <v>221</v>
      </c>
      <c r="C271" s="25" t="s">
        <v>26</v>
      </c>
      <c r="D271" s="32"/>
      <c r="E271" s="32"/>
      <c r="F271" s="32"/>
      <c r="G271" s="46">
        <v>0</v>
      </c>
      <c r="H271" s="46">
        <f>P268</f>
        <v>9142</v>
      </c>
      <c r="I271" s="76">
        <f>G271+H271</f>
        <v>9142</v>
      </c>
      <c r="J271" s="80" t="str">
        <f>B271</f>
        <v>29/03/2025</v>
      </c>
      <c r="K271" s="64" t="s">
        <v>300</v>
      </c>
      <c r="L271" s="129" t="s">
        <v>301</v>
      </c>
      <c r="M271" s="126" t="s">
        <v>302</v>
      </c>
      <c r="N271" s="32"/>
      <c r="O271" s="46">
        <v>0</v>
      </c>
      <c r="P271" s="46">
        <v>1500</v>
      </c>
      <c r="Q271" s="46">
        <f>P271</f>
        <v>1500</v>
      </c>
    </row>
    <row r="272" spans="1:21" ht="20.100000000000001" customHeight="1">
      <c r="A272" s="296"/>
      <c r="B272" s="37"/>
      <c r="C272" s="32"/>
      <c r="D272" s="32"/>
      <c r="E272" s="32"/>
      <c r="F272" s="32"/>
      <c r="G272" s="33"/>
      <c r="H272" s="33"/>
      <c r="I272" s="74"/>
      <c r="J272" s="81"/>
      <c r="K272" s="128" t="s">
        <v>101</v>
      </c>
      <c r="L272" s="83"/>
      <c r="M272" s="44"/>
      <c r="N272" s="32"/>
      <c r="O272" s="33"/>
      <c r="P272" s="33"/>
      <c r="Q272" s="39"/>
    </row>
    <row r="273" spans="1:21" ht="20.100000000000001" customHeight="1">
      <c r="A273" s="296"/>
      <c r="B273" s="37"/>
      <c r="C273" s="48"/>
      <c r="D273" s="32"/>
      <c r="E273" s="32"/>
      <c r="F273" s="32"/>
      <c r="G273" s="44"/>
      <c r="H273" s="46"/>
      <c r="I273" s="137"/>
      <c r="J273" s="81"/>
      <c r="K273" s="135" t="s">
        <v>248</v>
      </c>
      <c r="L273" s="130" t="s">
        <v>303</v>
      </c>
      <c r="M273" s="44"/>
      <c r="N273" s="32"/>
      <c r="O273" s="46">
        <v>500</v>
      </c>
      <c r="P273" s="44"/>
      <c r="Q273" s="67">
        <f>O273</f>
        <v>500</v>
      </c>
    </row>
    <row r="274" spans="1:21" ht="20.100000000000001" customHeight="1">
      <c r="A274" s="296"/>
      <c r="B274" s="37"/>
      <c r="C274" s="48"/>
      <c r="D274" s="32"/>
      <c r="E274" s="32"/>
      <c r="F274" s="32"/>
      <c r="G274" s="44"/>
      <c r="H274" s="46"/>
      <c r="I274" s="137"/>
      <c r="J274" s="81"/>
      <c r="K274" s="128" t="s">
        <v>273</v>
      </c>
      <c r="L274" s="130" t="s">
        <v>304</v>
      </c>
      <c r="M274" s="44"/>
      <c r="N274" s="32"/>
      <c r="O274" s="46">
        <v>500</v>
      </c>
      <c r="P274" s="44"/>
      <c r="Q274" s="67">
        <f>O274</f>
        <v>500</v>
      </c>
    </row>
    <row r="275" spans="1:21" ht="20.100000000000001" customHeight="1">
      <c r="A275" s="296"/>
      <c r="B275" s="37"/>
      <c r="C275" s="230" t="s">
        <v>114</v>
      </c>
      <c r="D275" s="32"/>
      <c r="E275" s="32"/>
      <c r="F275" s="32"/>
      <c r="G275" s="46">
        <v>1500</v>
      </c>
      <c r="H275" s="46"/>
      <c r="I275" s="76">
        <f>G275</f>
        <v>1500</v>
      </c>
      <c r="J275" s="81"/>
      <c r="K275" s="160" t="s">
        <v>306</v>
      </c>
      <c r="L275" s="130" t="s">
        <v>305</v>
      </c>
      <c r="M275" s="32"/>
      <c r="N275" s="32"/>
      <c r="O275" s="46">
        <v>500</v>
      </c>
      <c r="P275" s="44"/>
      <c r="Q275" s="67">
        <v>500</v>
      </c>
    </row>
    <row r="276" spans="1:21" ht="20.100000000000001" customHeight="1">
      <c r="A276" s="296"/>
      <c r="B276" s="37"/>
      <c r="C276" s="32"/>
      <c r="D276" s="32"/>
      <c r="E276" s="32"/>
      <c r="F276" s="32"/>
      <c r="G276" s="33"/>
      <c r="H276" s="33"/>
      <c r="I276" s="74"/>
      <c r="J276" s="81"/>
      <c r="K276" s="49" t="s">
        <v>70</v>
      </c>
      <c r="L276" s="32"/>
      <c r="M276" s="32"/>
      <c r="N276" s="32"/>
      <c r="O276" s="236">
        <f>SUM(O273:O275)</f>
        <v>1500</v>
      </c>
      <c r="P276" s="232">
        <f>P271</f>
        <v>1500</v>
      </c>
      <c r="Q276" s="232">
        <f>O276+P276</f>
        <v>3000</v>
      </c>
    </row>
    <row r="277" spans="1:21" ht="20.100000000000001" customHeight="1">
      <c r="A277" s="296"/>
      <c r="B277" s="37"/>
      <c r="C277" s="32"/>
      <c r="D277" s="32"/>
      <c r="E277" s="32"/>
      <c r="F277" s="32"/>
      <c r="G277" s="233">
        <f>SUM(G271:G276)</f>
        <v>1500</v>
      </c>
      <c r="H277" s="233">
        <f>SUM(H271:H276)</f>
        <v>9142</v>
      </c>
      <c r="I277" s="238">
        <f>SUM(I271:I276)</f>
        <v>10642</v>
      </c>
      <c r="J277" s="81"/>
      <c r="K277" s="49" t="s">
        <v>39</v>
      </c>
      <c r="L277" s="32"/>
      <c r="M277" s="32"/>
      <c r="N277" s="32"/>
      <c r="O277" s="237">
        <v>0</v>
      </c>
      <c r="P277" s="233">
        <f>H277-P276</f>
        <v>7642</v>
      </c>
      <c r="Q277" s="233">
        <f>I277-Q276</f>
        <v>7642</v>
      </c>
    </row>
    <row r="278" spans="1:21" ht="20.100000000000001" customHeight="1">
      <c r="A278" s="296"/>
      <c r="B278" s="37"/>
      <c r="C278" s="32"/>
      <c r="D278" s="32"/>
      <c r="E278" s="32"/>
      <c r="F278" s="32"/>
      <c r="G278" s="32"/>
      <c r="H278" s="32"/>
      <c r="I278" s="78"/>
      <c r="J278" s="81"/>
      <c r="K278" s="49" t="s">
        <v>40</v>
      </c>
      <c r="L278" s="32"/>
      <c r="M278" s="32"/>
      <c r="N278" s="32"/>
      <c r="O278" s="235">
        <f>O276</f>
        <v>1500</v>
      </c>
      <c r="P278" s="234">
        <f>P276+P277</f>
        <v>9142</v>
      </c>
      <c r="Q278" s="234">
        <f>Q276+Q277</f>
        <v>10642</v>
      </c>
    </row>
    <row r="279" spans="1:21" ht="44.25" customHeight="1">
      <c r="A279" s="296"/>
      <c r="B279" s="331"/>
      <c r="C279" s="332"/>
      <c r="D279" s="332"/>
      <c r="E279" s="332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3"/>
    </row>
    <row r="280" spans="1:21" ht="42.6" customHeight="1">
      <c r="A280" s="127"/>
      <c r="B280" s="318" t="s">
        <v>259</v>
      </c>
      <c r="C280" s="319"/>
      <c r="D280" s="319"/>
      <c r="E280" s="319"/>
      <c r="F280" s="319"/>
      <c r="G280" s="319"/>
      <c r="H280" s="319"/>
      <c r="I280" s="319"/>
      <c r="J280" s="319"/>
      <c r="K280" s="319"/>
      <c r="L280" s="319"/>
      <c r="M280" s="319"/>
      <c r="N280" s="319"/>
      <c r="O280" s="319"/>
      <c r="P280" s="319"/>
      <c r="Q280" s="319"/>
    </row>
    <row r="281" spans="1:21" ht="43.5" customHeight="1">
      <c r="A281" s="127"/>
      <c r="B281" s="320"/>
      <c r="C281" s="320"/>
      <c r="D281" s="320"/>
      <c r="E281" s="320"/>
      <c r="F281" s="320"/>
      <c r="G281" s="320"/>
      <c r="H281" s="320"/>
      <c r="I281" s="321"/>
      <c r="J281" s="322"/>
      <c r="K281" s="323"/>
      <c r="L281" s="323"/>
      <c r="M281" s="323"/>
      <c r="N281" s="323"/>
      <c r="O281" s="323"/>
      <c r="P281" s="323"/>
      <c r="Q281" s="323"/>
    </row>
    <row r="282" spans="1:21" ht="66" customHeight="1">
      <c r="A282" s="127"/>
      <c r="B282" s="27" t="s">
        <v>19</v>
      </c>
      <c r="C282" s="27" t="s">
        <v>29</v>
      </c>
      <c r="D282" s="28" t="s">
        <v>30</v>
      </c>
      <c r="E282" s="28" t="s">
        <v>31</v>
      </c>
      <c r="F282" s="28" t="s">
        <v>32</v>
      </c>
      <c r="G282" s="27" t="s">
        <v>33</v>
      </c>
      <c r="H282" s="27" t="s">
        <v>34</v>
      </c>
      <c r="I282" s="73" t="s">
        <v>35</v>
      </c>
      <c r="J282" s="79" t="s">
        <v>19</v>
      </c>
      <c r="K282" s="27" t="s">
        <v>69</v>
      </c>
      <c r="L282" s="28" t="s">
        <v>36</v>
      </c>
      <c r="M282" s="28" t="s">
        <v>37</v>
      </c>
      <c r="N282" s="28" t="s">
        <v>32</v>
      </c>
      <c r="O282" s="27" t="s">
        <v>33</v>
      </c>
      <c r="P282" s="27" t="s">
        <v>34</v>
      </c>
      <c r="Q282" s="27" t="s">
        <v>35</v>
      </c>
    </row>
    <row r="283" spans="1:21" ht="45" customHeight="1">
      <c r="A283" s="127"/>
      <c r="B283" s="57" t="s">
        <v>221</v>
      </c>
      <c r="C283" s="25" t="s">
        <v>26</v>
      </c>
      <c r="D283" s="32"/>
      <c r="E283" s="32"/>
      <c r="F283" s="32"/>
      <c r="G283" s="46">
        <v>0</v>
      </c>
      <c r="H283" s="46">
        <f>P277</f>
        <v>7642</v>
      </c>
      <c r="I283" s="76">
        <f>G283+H283</f>
        <v>7642</v>
      </c>
      <c r="J283" s="80" t="str">
        <f>B283</f>
        <v>29/03/2025</v>
      </c>
      <c r="K283" s="60" t="s">
        <v>292</v>
      </c>
      <c r="L283" s="129" t="s">
        <v>308</v>
      </c>
      <c r="M283" s="126" t="s">
        <v>307</v>
      </c>
      <c r="N283" s="32"/>
      <c r="O283" s="46">
        <v>0</v>
      </c>
      <c r="P283" s="46">
        <v>6000</v>
      </c>
      <c r="Q283" s="46">
        <f>P283</f>
        <v>6000</v>
      </c>
    </row>
    <row r="284" spans="1:21" ht="17.100000000000001" customHeight="1">
      <c r="A284" s="127"/>
      <c r="B284" s="37"/>
      <c r="C284" s="32"/>
      <c r="D284" s="32"/>
      <c r="E284" s="32"/>
      <c r="F284" s="32"/>
      <c r="G284" s="33"/>
      <c r="H284" s="33"/>
      <c r="I284" s="74"/>
      <c r="J284" s="81"/>
      <c r="K284" s="128" t="s">
        <v>309</v>
      </c>
      <c r="L284" s="83"/>
      <c r="M284" s="44"/>
      <c r="N284" s="32"/>
      <c r="O284" s="33"/>
      <c r="P284" s="33"/>
      <c r="Q284" s="39"/>
    </row>
    <row r="285" spans="1:21" ht="17.100000000000001" customHeight="1">
      <c r="A285" s="127"/>
      <c r="B285" s="37"/>
      <c r="C285" s="62"/>
      <c r="D285" s="32"/>
      <c r="E285" s="32"/>
      <c r="F285" s="32"/>
      <c r="G285" s="40"/>
      <c r="H285" s="41"/>
      <c r="I285" s="75"/>
      <c r="J285" s="81"/>
      <c r="K285" s="135"/>
      <c r="L285" s="130"/>
      <c r="M285" s="44"/>
      <c r="N285" s="32"/>
      <c r="O285" s="46"/>
      <c r="P285" s="44"/>
      <c r="Q285" s="67"/>
    </row>
    <row r="286" spans="1:21" ht="17.100000000000001" customHeight="1">
      <c r="A286" s="127"/>
      <c r="B286" s="37"/>
      <c r="C286" s="230"/>
      <c r="D286" s="32"/>
      <c r="E286" s="32"/>
      <c r="F286" s="32"/>
      <c r="G286" s="46"/>
      <c r="H286" s="46"/>
      <c r="I286" s="76"/>
      <c r="J286" s="81"/>
      <c r="K286" s="61"/>
      <c r="L286" s="68"/>
      <c r="M286" s="32"/>
      <c r="N286" s="32"/>
      <c r="O286" s="46"/>
      <c r="P286" s="44"/>
      <c r="Q286" s="67"/>
      <c r="T286">
        <v>14205</v>
      </c>
      <c r="U286">
        <v>11786</v>
      </c>
    </row>
    <row r="287" spans="1:21" ht="20.100000000000001" customHeight="1">
      <c r="A287" s="127"/>
      <c r="B287" s="37"/>
      <c r="C287" s="32"/>
      <c r="D287" s="32"/>
      <c r="E287" s="32"/>
      <c r="F287" s="32"/>
      <c r="G287" s="33"/>
      <c r="H287" s="33"/>
      <c r="I287" s="74"/>
      <c r="J287" s="81"/>
      <c r="K287" s="49" t="s">
        <v>70</v>
      </c>
      <c r="L287" s="32"/>
      <c r="M287" s="32"/>
      <c r="N287" s="32"/>
      <c r="O287" s="232">
        <f>O285</f>
        <v>0</v>
      </c>
      <c r="P287" s="232">
        <f>P283</f>
        <v>6000</v>
      </c>
      <c r="Q287" s="232">
        <f>O287+P287</f>
        <v>6000</v>
      </c>
      <c r="T287" t="e">
        <f>T286-#REF!</f>
        <v>#REF!</v>
      </c>
      <c r="U287" t="e">
        <f>U286-#REF!</f>
        <v>#REF!</v>
      </c>
    </row>
    <row r="288" spans="1:21" ht="20.100000000000001" customHeight="1">
      <c r="A288" s="127"/>
      <c r="B288" s="37"/>
      <c r="C288" s="32"/>
      <c r="D288" s="32"/>
      <c r="E288" s="32"/>
      <c r="F288" s="32"/>
      <c r="G288" s="233">
        <f>SUM(G283:G287)</f>
        <v>0</v>
      </c>
      <c r="H288" s="233">
        <f>SUM(H283:H287)</f>
        <v>7642</v>
      </c>
      <c r="I288" s="238">
        <f>SUM(I283:I287)</f>
        <v>7642</v>
      </c>
      <c r="J288" s="81"/>
      <c r="K288" s="49" t="s">
        <v>39</v>
      </c>
      <c r="L288" s="32"/>
      <c r="M288" s="32"/>
      <c r="N288" s="32"/>
      <c r="O288" s="237">
        <v>0</v>
      </c>
      <c r="P288" s="233">
        <f>H288-P287</f>
        <v>1642</v>
      </c>
      <c r="Q288" s="233">
        <f>I288-Q287</f>
        <v>1642</v>
      </c>
      <c r="T288">
        <v>1900</v>
      </c>
      <c r="U288">
        <v>1950</v>
      </c>
    </row>
    <row r="289" spans="1:21" ht="20.100000000000001" customHeight="1">
      <c r="A289" s="127"/>
      <c r="B289" s="37"/>
      <c r="C289" s="32"/>
      <c r="D289" s="32"/>
      <c r="E289" s="32"/>
      <c r="F289" s="32"/>
      <c r="G289" s="32"/>
      <c r="H289" s="32"/>
      <c r="I289" s="78"/>
      <c r="J289" s="81"/>
      <c r="K289" s="49" t="s">
        <v>40</v>
      </c>
      <c r="L289" s="32"/>
      <c r="M289" s="32"/>
      <c r="N289" s="32"/>
      <c r="O289" s="51">
        <f>O287</f>
        <v>0</v>
      </c>
      <c r="P289" s="51">
        <f>P287+P288</f>
        <v>7642</v>
      </c>
      <c r="Q289" s="51">
        <f>Q287+Q288</f>
        <v>7642</v>
      </c>
      <c r="T289" t="e">
        <f>T287-T288</f>
        <v>#REF!</v>
      </c>
      <c r="U289" t="e">
        <f>U287-U288</f>
        <v>#REF!</v>
      </c>
    </row>
    <row r="290" spans="1:21" ht="63.6" customHeight="1">
      <c r="A290" s="127"/>
      <c r="B290" s="63"/>
      <c r="C290" s="63"/>
      <c r="D290" s="32"/>
      <c r="E290" s="32"/>
      <c r="F290" s="32"/>
      <c r="G290" s="32"/>
      <c r="H290" s="32"/>
      <c r="I290" s="78"/>
      <c r="J290" s="80"/>
      <c r="K290" s="32"/>
      <c r="L290" s="32"/>
      <c r="M290" s="32"/>
      <c r="N290" s="32"/>
      <c r="O290" s="32"/>
      <c r="P290" s="32"/>
      <c r="Q290" s="32"/>
    </row>
    <row r="291" spans="1:21" ht="45" customHeight="1">
      <c r="A291" s="127"/>
      <c r="B291" s="57" t="s">
        <v>222</v>
      </c>
      <c r="C291" s="25" t="s">
        <v>26</v>
      </c>
      <c r="D291" s="32"/>
      <c r="E291" s="32"/>
      <c r="F291" s="32"/>
      <c r="G291" s="46">
        <v>0</v>
      </c>
      <c r="H291" s="46">
        <f>P288</f>
        <v>1642</v>
      </c>
      <c r="I291" s="76">
        <f>G291+H291</f>
        <v>1642</v>
      </c>
      <c r="J291" s="80" t="str">
        <f>B291</f>
        <v>30/03/2025</v>
      </c>
      <c r="K291" s="60" t="s">
        <v>38</v>
      </c>
      <c r="L291" s="129"/>
      <c r="M291" s="126"/>
      <c r="N291" s="32"/>
      <c r="O291" s="46">
        <v>0</v>
      </c>
      <c r="P291" s="46">
        <v>0</v>
      </c>
      <c r="Q291" s="46">
        <f>P291</f>
        <v>0</v>
      </c>
    </row>
    <row r="292" spans="1:21" ht="27.75" customHeight="1">
      <c r="A292" s="127"/>
      <c r="B292" s="37"/>
      <c r="C292" s="32"/>
      <c r="D292" s="32"/>
      <c r="E292" s="32"/>
      <c r="F292" s="32"/>
      <c r="G292" s="33"/>
      <c r="H292" s="33"/>
      <c r="I292" s="74"/>
      <c r="J292" s="81"/>
      <c r="K292" s="128"/>
      <c r="L292" s="83"/>
      <c r="M292" s="44"/>
      <c r="N292" s="32"/>
      <c r="O292" s="33"/>
      <c r="P292" s="33"/>
      <c r="Q292" s="39"/>
    </row>
    <row r="293" spans="1:21" ht="17.100000000000001" customHeight="1">
      <c r="A293" s="127"/>
      <c r="B293" s="37"/>
      <c r="C293" s="62" t="s">
        <v>223</v>
      </c>
      <c r="D293" s="32"/>
      <c r="E293" s="32"/>
      <c r="F293" s="32"/>
      <c r="G293" s="40"/>
      <c r="H293" s="41">
        <v>1800</v>
      </c>
      <c r="I293" s="75">
        <f>H293</f>
        <v>1800</v>
      </c>
      <c r="J293" s="81"/>
      <c r="K293" s="61"/>
      <c r="L293" s="57"/>
      <c r="M293" s="32"/>
      <c r="N293" s="32"/>
      <c r="O293" s="46"/>
      <c r="P293" s="44"/>
      <c r="Q293" s="67"/>
    </row>
    <row r="294" spans="1:21" ht="17.100000000000001" customHeight="1">
      <c r="A294" s="127"/>
      <c r="B294" s="37"/>
      <c r="C294" s="32"/>
      <c r="D294" s="32"/>
      <c r="E294" s="32"/>
      <c r="F294" s="32"/>
      <c r="G294" s="44"/>
      <c r="H294" s="46"/>
      <c r="I294" s="76"/>
      <c r="J294" s="81"/>
      <c r="K294" s="61"/>
      <c r="L294" s="68"/>
      <c r="M294" s="32"/>
      <c r="N294" s="32"/>
      <c r="O294" s="46"/>
      <c r="P294" s="44"/>
      <c r="Q294" s="67"/>
    </row>
    <row r="295" spans="1:21" ht="17.100000000000001" customHeight="1">
      <c r="A295" s="127"/>
      <c r="B295" s="37"/>
      <c r="C295" s="48"/>
      <c r="D295" s="32"/>
      <c r="E295" s="32"/>
      <c r="F295" s="32"/>
      <c r="G295" s="46"/>
      <c r="H295" s="46"/>
      <c r="I295" s="76"/>
      <c r="J295" s="81"/>
      <c r="K295" s="61"/>
      <c r="L295" s="57"/>
      <c r="M295" s="32"/>
      <c r="N295" s="32"/>
      <c r="O295" s="46"/>
      <c r="P295" s="44"/>
      <c r="Q295" s="67"/>
    </row>
    <row r="296" spans="1:21" ht="20.100000000000001" customHeight="1">
      <c r="A296" s="127"/>
      <c r="B296" s="37"/>
      <c r="C296" s="32"/>
      <c r="D296" s="32"/>
      <c r="E296" s="32"/>
      <c r="F296" s="32"/>
      <c r="G296" s="33"/>
      <c r="H296" s="33"/>
      <c r="I296" s="74"/>
      <c r="J296" s="81"/>
      <c r="K296" s="49" t="s">
        <v>70</v>
      </c>
      <c r="L296" s="32"/>
      <c r="M296" s="32"/>
      <c r="N296" s="32"/>
      <c r="O296" s="232">
        <v>0</v>
      </c>
      <c r="P296" s="232">
        <f>P291+O293+O292+O294+O295-O296</f>
        <v>0</v>
      </c>
      <c r="Q296" s="232">
        <f>O296+P296</f>
        <v>0</v>
      </c>
    </row>
    <row r="297" spans="1:21" ht="20.100000000000001" customHeight="1">
      <c r="A297" s="127"/>
      <c r="B297" s="37"/>
      <c r="C297" s="32"/>
      <c r="D297" s="32"/>
      <c r="E297" s="32"/>
      <c r="F297" s="32"/>
      <c r="G297" s="233">
        <f>SUM(G291:G296)</f>
        <v>0</v>
      </c>
      <c r="H297" s="233">
        <f>SUM(H291:H296)</f>
        <v>3442</v>
      </c>
      <c r="I297" s="238">
        <f>SUM(I291:I296)</f>
        <v>3442</v>
      </c>
      <c r="J297" s="81"/>
      <c r="K297" s="49" t="s">
        <v>39</v>
      </c>
      <c r="L297" s="32"/>
      <c r="M297" s="32"/>
      <c r="N297" s="32"/>
      <c r="O297" s="237">
        <v>0</v>
      </c>
      <c r="P297" s="233">
        <f>H297-P296</f>
        <v>3442</v>
      </c>
      <c r="Q297" s="233">
        <f>I297-Q296</f>
        <v>3442</v>
      </c>
    </row>
    <row r="298" spans="1:21" ht="20.100000000000001" customHeight="1">
      <c r="A298" s="127"/>
      <c r="B298" s="37"/>
      <c r="C298" s="32"/>
      <c r="D298" s="32"/>
      <c r="E298" s="32"/>
      <c r="F298" s="32"/>
      <c r="G298" s="32"/>
      <c r="H298" s="32"/>
      <c r="I298" s="78"/>
      <c r="J298" s="81"/>
      <c r="K298" s="49" t="s">
        <v>40</v>
      </c>
      <c r="L298" s="32"/>
      <c r="M298" s="32"/>
      <c r="N298" s="32"/>
      <c r="O298" s="234">
        <f>O296</f>
        <v>0</v>
      </c>
      <c r="P298" s="234">
        <f>P296+P297</f>
        <v>3442</v>
      </c>
      <c r="Q298" s="234">
        <f>Q296+Q297</f>
        <v>3442</v>
      </c>
    </row>
    <row r="299" spans="1:21" ht="36" customHeight="1">
      <c r="A299" s="127"/>
      <c r="B299" s="291"/>
      <c r="C299" s="292"/>
      <c r="D299" s="292"/>
      <c r="E299" s="292"/>
      <c r="F299" s="292"/>
      <c r="G299" s="292"/>
      <c r="H299" s="292"/>
      <c r="I299" s="292"/>
      <c r="J299" s="291"/>
      <c r="K299" s="293"/>
      <c r="L299" s="292"/>
      <c r="M299" s="292"/>
      <c r="N299" s="292"/>
      <c r="O299" s="294"/>
      <c r="P299" s="294"/>
      <c r="Q299" s="294"/>
    </row>
    <row r="300" spans="1:21" ht="42.6" customHeight="1">
      <c r="A300" s="296">
        <f ca="1">A300:Q319</f>
        <v>0</v>
      </c>
      <c r="B300" s="318" t="s">
        <v>259</v>
      </c>
      <c r="C300" s="319"/>
      <c r="D300" s="319"/>
      <c r="E300" s="319"/>
      <c r="F300" s="319"/>
      <c r="G300" s="319"/>
      <c r="H300" s="319"/>
      <c r="I300" s="319"/>
      <c r="J300" s="319"/>
      <c r="K300" s="319"/>
      <c r="L300" s="319"/>
      <c r="M300" s="319"/>
      <c r="N300" s="319"/>
      <c r="O300" s="319"/>
      <c r="P300" s="319"/>
      <c r="Q300" s="319"/>
    </row>
    <row r="301" spans="1:21" ht="43.5" customHeight="1">
      <c r="A301" s="296"/>
      <c r="B301" s="320"/>
      <c r="C301" s="320"/>
      <c r="D301" s="320"/>
      <c r="E301" s="320"/>
      <c r="F301" s="320"/>
      <c r="G301" s="320"/>
      <c r="H301" s="320"/>
      <c r="I301" s="321"/>
      <c r="J301" s="322"/>
      <c r="K301" s="323"/>
      <c r="L301" s="323"/>
      <c r="M301" s="323"/>
      <c r="N301" s="323"/>
      <c r="O301" s="323"/>
      <c r="P301" s="323"/>
      <c r="Q301" s="323"/>
    </row>
    <row r="302" spans="1:21" ht="66" customHeight="1">
      <c r="A302" s="296"/>
      <c r="B302" s="27" t="s">
        <v>19</v>
      </c>
      <c r="C302" s="27" t="s">
        <v>29</v>
      </c>
      <c r="D302" s="28" t="s">
        <v>30</v>
      </c>
      <c r="E302" s="28" t="s">
        <v>31</v>
      </c>
      <c r="F302" s="28" t="s">
        <v>32</v>
      </c>
      <c r="G302" s="27" t="s">
        <v>33</v>
      </c>
      <c r="H302" s="27" t="s">
        <v>34</v>
      </c>
      <c r="I302" s="73" t="s">
        <v>35</v>
      </c>
      <c r="J302" s="79" t="s">
        <v>19</v>
      </c>
      <c r="K302" s="27" t="s">
        <v>69</v>
      </c>
      <c r="L302" s="28" t="s">
        <v>36</v>
      </c>
      <c r="M302" s="28" t="s">
        <v>37</v>
      </c>
      <c r="N302" s="28" t="s">
        <v>32</v>
      </c>
      <c r="O302" s="27" t="s">
        <v>33</v>
      </c>
      <c r="P302" s="27" t="s">
        <v>34</v>
      </c>
      <c r="Q302" s="27" t="s">
        <v>35</v>
      </c>
    </row>
    <row r="303" spans="1:21" ht="45" customHeight="1">
      <c r="A303" s="296"/>
      <c r="B303" s="57" t="s">
        <v>222</v>
      </c>
      <c r="C303" s="25" t="s">
        <v>26</v>
      </c>
      <c r="D303" s="32"/>
      <c r="E303" s="32"/>
      <c r="F303" s="32"/>
      <c r="G303" s="46">
        <v>0</v>
      </c>
      <c r="H303" s="46">
        <f>P297</f>
        <v>3442</v>
      </c>
      <c r="I303" s="76">
        <f>G303+H303</f>
        <v>3442</v>
      </c>
      <c r="J303" s="80" t="str">
        <f>B303</f>
        <v>30/03/2025</v>
      </c>
      <c r="K303" s="60" t="s">
        <v>38</v>
      </c>
      <c r="L303" s="129"/>
      <c r="M303" s="126"/>
      <c r="N303" s="32"/>
      <c r="O303" s="46">
        <v>0</v>
      </c>
      <c r="P303" s="46">
        <v>0</v>
      </c>
      <c r="Q303" s="46">
        <f>P303</f>
        <v>0</v>
      </c>
    </row>
    <row r="304" spans="1:21" ht="17.100000000000001" customHeight="1">
      <c r="A304" s="296"/>
      <c r="B304" s="37"/>
      <c r="C304" s="32"/>
      <c r="D304" s="32"/>
      <c r="E304" s="32"/>
      <c r="F304" s="32"/>
      <c r="G304" s="44"/>
      <c r="H304" s="46"/>
      <c r="I304" s="76"/>
      <c r="J304" s="81"/>
      <c r="K304" s="128"/>
      <c r="L304" s="68"/>
      <c r="M304" s="32"/>
      <c r="N304" s="32"/>
      <c r="O304" s="46"/>
      <c r="P304" s="44"/>
      <c r="Q304" s="67"/>
    </row>
    <row r="305" spans="1:17" ht="17.100000000000001" customHeight="1">
      <c r="A305" s="296"/>
      <c r="B305" s="37"/>
      <c r="C305" s="62" t="s">
        <v>223</v>
      </c>
      <c r="D305" s="32"/>
      <c r="E305" s="32"/>
      <c r="F305" s="32"/>
      <c r="G305" s="40"/>
      <c r="H305" s="41">
        <v>14400</v>
      </c>
      <c r="I305" s="75">
        <f>H305</f>
        <v>14400</v>
      </c>
      <c r="J305" s="81"/>
      <c r="K305" s="61"/>
      <c r="L305" s="130"/>
      <c r="M305" s="32"/>
      <c r="N305" s="32"/>
      <c r="O305" s="46"/>
      <c r="P305" s="44"/>
      <c r="Q305" s="67"/>
    </row>
    <row r="306" spans="1:17" ht="17.100000000000001" customHeight="1">
      <c r="A306" s="296"/>
      <c r="B306" s="37"/>
      <c r="C306" s="62"/>
      <c r="D306" s="32"/>
      <c r="E306" s="32"/>
      <c r="F306" s="32"/>
      <c r="G306" s="44"/>
      <c r="H306" s="46"/>
      <c r="I306" s="137"/>
      <c r="J306" s="81"/>
      <c r="K306" s="61"/>
      <c r="L306" s="68"/>
      <c r="M306" s="32"/>
      <c r="N306" s="32"/>
      <c r="O306" s="46"/>
      <c r="P306" s="44"/>
      <c r="Q306" s="67"/>
    </row>
    <row r="307" spans="1:17" ht="17.100000000000001" customHeight="1">
      <c r="A307" s="296"/>
      <c r="B307" s="37"/>
      <c r="C307" s="48"/>
      <c r="D307" s="32"/>
      <c r="E307" s="32"/>
      <c r="F307" s="32"/>
      <c r="G307" s="46"/>
      <c r="H307" s="46"/>
      <c r="I307" s="76"/>
      <c r="J307" s="81"/>
      <c r="K307" s="61"/>
      <c r="L307" s="57"/>
      <c r="M307" s="32"/>
      <c r="N307" s="32"/>
      <c r="O307" s="46"/>
      <c r="P307" s="44"/>
      <c r="Q307" s="67"/>
    </row>
    <row r="308" spans="1:17" ht="17.100000000000001" customHeight="1">
      <c r="A308" s="296"/>
      <c r="B308" s="37"/>
      <c r="C308" s="32"/>
      <c r="D308" s="32"/>
      <c r="E308" s="32"/>
      <c r="F308" s="32"/>
      <c r="G308" s="33"/>
      <c r="H308" s="33"/>
      <c r="I308" s="74"/>
      <c r="J308" s="81"/>
      <c r="K308" s="49" t="s">
        <v>70</v>
      </c>
      <c r="L308" s="32"/>
      <c r="M308" s="32"/>
      <c r="N308" s="32"/>
      <c r="O308" s="236">
        <f>SUM(O303:O307)</f>
        <v>0</v>
      </c>
      <c r="P308" s="232">
        <f>SUM(P303:P307)</f>
        <v>0</v>
      </c>
      <c r="Q308" s="232">
        <f>O308+P308</f>
        <v>0</v>
      </c>
    </row>
    <row r="309" spans="1:17" ht="17.100000000000001" customHeight="1">
      <c r="A309" s="296"/>
      <c r="B309" s="37"/>
      <c r="C309" s="32"/>
      <c r="D309" s="32"/>
      <c r="E309" s="32"/>
      <c r="F309" s="32"/>
      <c r="G309" s="233">
        <f>SUM(G303:G308)</f>
        <v>0</v>
      </c>
      <c r="H309" s="233">
        <f>SUM(H303:H308)</f>
        <v>17842</v>
      </c>
      <c r="I309" s="238">
        <f>SUM(I303:I308)</f>
        <v>17842</v>
      </c>
      <c r="J309" s="81"/>
      <c r="K309" s="49" t="s">
        <v>39</v>
      </c>
      <c r="L309" s="32"/>
      <c r="M309" s="32"/>
      <c r="N309" s="32"/>
      <c r="O309" s="237">
        <v>0</v>
      </c>
      <c r="P309" s="233">
        <f>H309-P308</f>
        <v>17842</v>
      </c>
      <c r="Q309" s="233">
        <f>I309-Q308</f>
        <v>17842</v>
      </c>
    </row>
    <row r="310" spans="1:17" ht="17.100000000000001" customHeight="1">
      <c r="A310" s="296"/>
      <c r="B310" s="37"/>
      <c r="C310" s="32"/>
      <c r="D310" s="32"/>
      <c r="E310" s="32"/>
      <c r="F310" s="32"/>
      <c r="G310" s="32"/>
      <c r="H310" s="32"/>
      <c r="I310" s="78"/>
      <c r="J310" s="81"/>
      <c r="K310" s="49" t="s">
        <v>40</v>
      </c>
      <c r="L310" s="32"/>
      <c r="M310" s="32"/>
      <c r="N310" s="32"/>
      <c r="O310" s="235">
        <f>O308</f>
        <v>0</v>
      </c>
      <c r="P310" s="234">
        <f>P308+P309</f>
        <v>17842</v>
      </c>
      <c r="Q310" s="234">
        <f>Q308+Q309</f>
        <v>17842</v>
      </c>
    </row>
    <row r="311" spans="1:17" ht="48.75" customHeight="1">
      <c r="A311" s="296"/>
      <c r="B311" s="158"/>
      <c r="C311" s="163"/>
      <c r="D311" s="163"/>
      <c r="E311" s="163"/>
      <c r="F311" s="163"/>
      <c r="G311" s="163"/>
      <c r="H311" s="163"/>
      <c r="I311" s="163"/>
      <c r="J311" s="159"/>
      <c r="K311" s="164"/>
      <c r="L311" s="163"/>
      <c r="M311" s="163"/>
      <c r="N311" s="163"/>
      <c r="O311" s="165"/>
      <c r="P311" s="166"/>
      <c r="Q311" s="167"/>
    </row>
    <row r="312" spans="1:17" ht="45" customHeight="1">
      <c r="A312" s="296"/>
      <c r="B312" s="57" t="s">
        <v>225</v>
      </c>
      <c r="C312" s="25" t="s">
        <v>26</v>
      </c>
      <c r="D312" s="32"/>
      <c r="E312" s="32"/>
      <c r="F312" s="32"/>
      <c r="G312" s="46">
        <v>0</v>
      </c>
      <c r="H312" s="46">
        <f>P309</f>
        <v>17842</v>
      </c>
      <c r="I312" s="76">
        <f>G312+H312</f>
        <v>17842</v>
      </c>
      <c r="J312" s="80" t="str">
        <f>B312</f>
        <v>31/03/2025</v>
      </c>
      <c r="K312" s="60" t="s">
        <v>38</v>
      </c>
      <c r="L312" s="129"/>
      <c r="M312" s="126"/>
      <c r="N312" s="32"/>
      <c r="O312" s="46">
        <v>0</v>
      </c>
      <c r="P312" s="46">
        <v>0</v>
      </c>
      <c r="Q312" s="46">
        <f>P312</f>
        <v>0</v>
      </c>
    </row>
    <row r="313" spans="1:17" ht="17.100000000000001" customHeight="1">
      <c r="A313" s="296"/>
      <c r="B313" s="37"/>
      <c r="C313" s="32"/>
      <c r="D313" s="32"/>
      <c r="E313" s="32"/>
      <c r="F313" s="32"/>
      <c r="G313" s="33"/>
      <c r="H313" s="33"/>
      <c r="I313" s="74"/>
      <c r="J313" s="81"/>
      <c r="K313" s="128"/>
      <c r="L313" s="83"/>
      <c r="M313" s="44"/>
      <c r="N313" s="32"/>
      <c r="O313" s="33"/>
      <c r="P313" s="33"/>
      <c r="Q313" s="39"/>
    </row>
    <row r="314" spans="1:17" ht="17.100000000000001" customHeight="1">
      <c r="A314" s="296"/>
      <c r="B314" s="37"/>
      <c r="C314" s="62"/>
      <c r="D314" s="32"/>
      <c r="E314" s="32"/>
      <c r="F314" s="32"/>
      <c r="G314" s="40"/>
      <c r="H314" s="41"/>
      <c r="I314" s="75"/>
      <c r="J314" s="81"/>
      <c r="K314" s="135"/>
      <c r="L314" s="130"/>
      <c r="M314" s="44"/>
      <c r="N314" s="32"/>
      <c r="O314" s="46"/>
      <c r="P314" s="44"/>
      <c r="Q314" s="67"/>
    </row>
    <row r="315" spans="1:17" ht="17.100000000000001" customHeight="1">
      <c r="A315" s="296"/>
      <c r="B315" s="37"/>
      <c r="C315" s="48"/>
      <c r="D315" s="32"/>
      <c r="E315" s="32"/>
      <c r="F315" s="32"/>
      <c r="G315" s="44"/>
      <c r="H315" s="46"/>
      <c r="I315" s="137"/>
      <c r="J315" s="81"/>
      <c r="K315" s="135"/>
      <c r="L315" s="130"/>
      <c r="M315" s="44"/>
      <c r="N315" s="32"/>
      <c r="O315" s="46"/>
      <c r="P315" s="44"/>
      <c r="Q315" s="67"/>
    </row>
    <row r="316" spans="1:17" ht="17.100000000000001" customHeight="1">
      <c r="A316" s="296"/>
      <c r="B316" s="37"/>
      <c r="C316" s="230"/>
      <c r="D316" s="32"/>
      <c r="E316" s="32"/>
      <c r="F316" s="32"/>
      <c r="G316" s="46"/>
      <c r="H316" s="46"/>
      <c r="I316" s="76"/>
      <c r="J316" s="81"/>
      <c r="K316" s="61"/>
      <c r="L316" s="68"/>
      <c r="M316" s="32"/>
      <c r="N316" s="32"/>
      <c r="O316" s="46"/>
      <c r="P316" s="44"/>
      <c r="Q316" s="67"/>
    </row>
    <row r="317" spans="1:17" ht="17.100000000000001" customHeight="1">
      <c r="A317" s="296"/>
      <c r="B317" s="37"/>
      <c r="C317" s="32"/>
      <c r="D317" s="32"/>
      <c r="E317" s="32"/>
      <c r="F317" s="32"/>
      <c r="G317" s="33"/>
      <c r="H317" s="33"/>
      <c r="I317" s="74"/>
      <c r="J317" s="81"/>
      <c r="K317" s="49" t="s">
        <v>70</v>
      </c>
      <c r="L317" s="32"/>
      <c r="M317" s="32"/>
      <c r="N317" s="32"/>
      <c r="O317" s="236">
        <v>0</v>
      </c>
      <c r="P317" s="232">
        <v>0</v>
      </c>
      <c r="Q317" s="232">
        <f>O317+P317</f>
        <v>0</v>
      </c>
    </row>
    <row r="318" spans="1:17" ht="17.100000000000001" customHeight="1">
      <c r="A318" s="296"/>
      <c r="B318" s="37"/>
      <c r="C318" s="32"/>
      <c r="D318" s="32"/>
      <c r="E318" s="32"/>
      <c r="F318" s="32"/>
      <c r="G318" s="233">
        <f>SUM(G312:G317)</f>
        <v>0</v>
      </c>
      <c r="H318" s="233">
        <f>SUM(H312:H317)</f>
        <v>17842</v>
      </c>
      <c r="I318" s="238">
        <f>SUM(I312:I317)</f>
        <v>17842</v>
      </c>
      <c r="J318" s="81"/>
      <c r="K318" s="49" t="s">
        <v>39</v>
      </c>
      <c r="L318" s="32"/>
      <c r="M318" s="32"/>
      <c r="N318" s="32"/>
      <c r="O318" s="237">
        <v>0</v>
      </c>
      <c r="P318" s="233">
        <f>H318-P317</f>
        <v>17842</v>
      </c>
      <c r="Q318" s="233">
        <f>I318-Q317</f>
        <v>17842</v>
      </c>
    </row>
    <row r="319" spans="1:17" ht="17.100000000000001" customHeight="1" thickBot="1">
      <c r="A319" s="296"/>
      <c r="B319" s="37"/>
      <c r="C319" s="32"/>
      <c r="D319" s="32"/>
      <c r="E319" s="32"/>
      <c r="F319" s="32"/>
      <c r="G319" s="32"/>
      <c r="H319" s="32"/>
      <c r="I319" s="78"/>
      <c r="J319" s="81"/>
      <c r="K319" s="49" t="s">
        <v>40</v>
      </c>
      <c r="L319" s="32"/>
      <c r="M319" s="32"/>
      <c r="N319" s="32"/>
      <c r="O319" s="235">
        <f>O317</f>
        <v>0</v>
      </c>
      <c r="P319" s="234">
        <f>P317+P318</f>
        <v>17842</v>
      </c>
      <c r="Q319" s="234">
        <f>Q317+Q318</f>
        <v>17842</v>
      </c>
    </row>
    <row r="320" spans="1:17" ht="45" customHeight="1" thickTop="1">
      <c r="A320" s="296"/>
      <c r="B320" s="334" t="s">
        <v>310</v>
      </c>
      <c r="C320" s="335"/>
      <c r="D320" s="335"/>
      <c r="E320" s="335"/>
      <c r="F320" s="335"/>
      <c r="G320" s="335"/>
      <c r="H320" s="335"/>
      <c r="I320" s="335"/>
      <c r="J320" s="335"/>
      <c r="K320" s="335"/>
      <c r="L320" s="335"/>
      <c r="M320" s="335"/>
      <c r="N320" s="335"/>
      <c r="O320" s="335"/>
      <c r="P320" s="335"/>
      <c r="Q320" s="336"/>
    </row>
    <row r="321" spans="1:17" ht="17.100000000000001" customHeight="1" thickBot="1">
      <c r="A321" s="296"/>
      <c r="B321" s="337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N321" s="338"/>
      <c r="O321" s="338"/>
      <c r="P321" s="338"/>
      <c r="Q321" s="339"/>
    </row>
    <row r="322" spans="1:17" ht="17.100000000000001" customHeight="1" thickTop="1">
      <c r="A322" s="296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</row>
  </sheetData>
  <mergeCells count="65">
    <mergeCell ref="B280:Q280"/>
    <mergeCell ref="B281:I281"/>
    <mergeCell ref="J281:Q281"/>
    <mergeCell ref="A219:A238"/>
    <mergeCell ref="A239:A258"/>
    <mergeCell ref="B239:Q239"/>
    <mergeCell ref="B240:I240"/>
    <mergeCell ref="J240:Q240"/>
    <mergeCell ref="A259:A279"/>
    <mergeCell ref="B259:Q259"/>
    <mergeCell ref="B260:I260"/>
    <mergeCell ref="J260:Q260"/>
    <mergeCell ref="B279:Q279"/>
    <mergeCell ref="A320:A322"/>
    <mergeCell ref="B320:Q321"/>
    <mergeCell ref="A300:A319"/>
    <mergeCell ref="B300:Q300"/>
    <mergeCell ref="B301:I301"/>
    <mergeCell ref="J301:Q301"/>
    <mergeCell ref="B63:Q63"/>
    <mergeCell ref="A173:A194"/>
    <mergeCell ref="B173:Q173"/>
    <mergeCell ref="B174:I174"/>
    <mergeCell ref="J174:Q174"/>
    <mergeCell ref="A128:A149"/>
    <mergeCell ref="A150:A171"/>
    <mergeCell ref="B128:Q128"/>
    <mergeCell ref="A107:A127"/>
    <mergeCell ref="A64:A85"/>
    <mergeCell ref="A86:A106"/>
    <mergeCell ref="A1:A21"/>
    <mergeCell ref="B2:I2"/>
    <mergeCell ref="B43:Q43"/>
    <mergeCell ref="B44:I44"/>
    <mergeCell ref="J44:Q44"/>
    <mergeCell ref="J2:Q2"/>
    <mergeCell ref="B1:Q1"/>
    <mergeCell ref="B22:Q22"/>
    <mergeCell ref="B23:I23"/>
    <mergeCell ref="J23:Q23"/>
    <mergeCell ref="B21:Q21"/>
    <mergeCell ref="B42:Q42"/>
    <mergeCell ref="J65:Q65"/>
    <mergeCell ref="B65:I65"/>
    <mergeCell ref="B64:Q64"/>
    <mergeCell ref="B219:Q219"/>
    <mergeCell ref="B220:I220"/>
    <mergeCell ref="J220:Q220"/>
    <mergeCell ref="B85:Q85"/>
    <mergeCell ref="B129:I129"/>
    <mergeCell ref="J129:Q129"/>
    <mergeCell ref="B86:Q86"/>
    <mergeCell ref="B87:I87"/>
    <mergeCell ref="J87:Q87"/>
    <mergeCell ref="B106:Q106"/>
    <mergeCell ref="B107:Q107"/>
    <mergeCell ref="B108:I108"/>
    <mergeCell ref="J108:Q108"/>
    <mergeCell ref="A195:A218"/>
    <mergeCell ref="B195:Q195"/>
    <mergeCell ref="B196:I196"/>
    <mergeCell ref="J196:Q196"/>
    <mergeCell ref="B150:Q150"/>
    <mergeCell ref="B151:I151"/>
    <mergeCell ref="J151:Q151"/>
  </mergeCells>
  <pageMargins left="0" right="0" top="0" bottom="0" header="0" footer="0"/>
  <pageSetup paperSize="346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66"/>
  </sheetPr>
  <dimension ref="A1:V76"/>
  <sheetViews>
    <sheetView topLeftCell="A61" zoomScale="93" zoomScaleNormal="93" workbookViewId="0">
      <selection activeCell="A53" sqref="A53:P76"/>
    </sheetView>
  </sheetViews>
  <sheetFormatPr defaultRowHeight="15"/>
  <cols>
    <col min="1" max="1" width="2.140625" customWidth="1"/>
    <col min="2" max="2" width="12.7109375" customWidth="1"/>
    <col min="3" max="3" width="8.42578125" customWidth="1"/>
    <col min="4" max="4" width="25.7109375" customWidth="1"/>
    <col min="5" max="5" width="9.5703125" customWidth="1"/>
    <col min="6" max="7" width="9.42578125" customWidth="1"/>
    <col min="8" max="8" width="7.85546875" customWidth="1"/>
    <col min="9" max="9" width="1.28515625" customWidth="1"/>
    <col min="10" max="10" width="12.28515625" customWidth="1"/>
    <col min="11" max="11" width="9" customWidth="1"/>
    <col min="12" max="12" width="26.42578125" customWidth="1"/>
    <col min="13" max="13" width="9.5703125" customWidth="1"/>
    <col min="14" max="14" width="8.42578125" customWidth="1"/>
    <col min="15" max="15" width="9.85546875" customWidth="1"/>
    <col min="16" max="16" width="7.85546875" customWidth="1"/>
    <col min="19" max="19" width="15.42578125" customWidth="1"/>
  </cols>
  <sheetData>
    <row r="1" spans="1:20" ht="48" customHeight="1">
      <c r="A1" s="340"/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</row>
    <row r="2" spans="1:20" ht="31.5" customHeight="1">
      <c r="A2" s="340"/>
      <c r="B2" s="341" t="s">
        <v>224</v>
      </c>
      <c r="C2" s="342"/>
      <c r="D2" s="342"/>
      <c r="E2" s="342"/>
      <c r="F2" s="342"/>
      <c r="G2" s="342"/>
      <c r="H2" s="342"/>
      <c r="I2" s="26"/>
      <c r="J2" s="341" t="s">
        <v>224</v>
      </c>
      <c r="K2" s="342"/>
      <c r="L2" s="342"/>
      <c r="M2" s="342"/>
      <c r="N2" s="342"/>
      <c r="O2" s="342"/>
      <c r="P2" s="342"/>
    </row>
    <row r="3" spans="1:20" ht="30" customHeight="1">
      <c r="A3" s="340"/>
      <c r="B3" s="343" t="s">
        <v>193</v>
      </c>
      <c r="C3" s="344"/>
      <c r="D3" s="344"/>
      <c r="E3" s="344"/>
      <c r="F3" s="344"/>
      <c r="G3" s="344"/>
      <c r="H3" s="344"/>
      <c r="I3" s="26"/>
      <c r="J3" s="343" t="s">
        <v>194</v>
      </c>
      <c r="K3" s="344"/>
      <c r="L3" s="344"/>
      <c r="M3" s="344"/>
      <c r="N3" s="344"/>
      <c r="O3" s="344"/>
      <c r="P3" s="344"/>
    </row>
    <row r="4" spans="1:20" ht="39.75" customHeight="1">
      <c r="A4" s="340"/>
      <c r="B4" s="240" t="s">
        <v>19</v>
      </c>
      <c r="C4" s="241" t="s">
        <v>20</v>
      </c>
      <c r="D4" s="240" t="s">
        <v>21</v>
      </c>
      <c r="E4" s="241" t="s">
        <v>22</v>
      </c>
      <c r="F4" s="241" t="s">
        <v>23</v>
      </c>
      <c r="G4" s="241" t="s">
        <v>24</v>
      </c>
      <c r="H4" s="241" t="s">
        <v>25</v>
      </c>
      <c r="I4" s="26"/>
      <c r="J4" s="240" t="s">
        <v>19</v>
      </c>
      <c r="K4" s="241" t="s">
        <v>20</v>
      </c>
      <c r="L4" s="240" t="s">
        <v>21</v>
      </c>
      <c r="M4" s="241" t="s">
        <v>22</v>
      </c>
      <c r="N4" s="241" t="s">
        <v>23</v>
      </c>
      <c r="O4" s="241" t="s">
        <v>24</v>
      </c>
      <c r="P4" s="241" t="s">
        <v>25</v>
      </c>
    </row>
    <row r="5" spans="1:20" ht="17.25">
      <c r="A5" s="340"/>
      <c r="B5" s="242">
        <v>45295</v>
      </c>
      <c r="C5" s="243">
        <v>1</v>
      </c>
      <c r="D5" s="244" t="s">
        <v>26</v>
      </c>
      <c r="E5" s="245">
        <v>0</v>
      </c>
      <c r="F5" s="245">
        <v>0</v>
      </c>
      <c r="G5" s="245">
        <f>E5-F5</f>
        <v>0</v>
      </c>
      <c r="H5" s="245">
        <v>0</v>
      </c>
      <c r="I5" s="26"/>
      <c r="J5" s="242">
        <v>45295</v>
      </c>
      <c r="K5" s="243">
        <v>1</v>
      </c>
      <c r="L5" s="244" t="s">
        <v>26</v>
      </c>
      <c r="M5" s="245">
        <v>1193</v>
      </c>
      <c r="N5" s="245">
        <v>0</v>
      </c>
      <c r="O5" s="245">
        <f>M5-N5</f>
        <v>1193</v>
      </c>
      <c r="P5" s="245">
        <v>0</v>
      </c>
    </row>
    <row r="6" spans="1:20" ht="17.25">
      <c r="A6" s="340"/>
      <c r="B6" s="246" t="s">
        <v>219</v>
      </c>
      <c r="C6" s="243">
        <v>13</v>
      </c>
      <c r="D6" s="244" t="s">
        <v>27</v>
      </c>
      <c r="E6" s="245">
        <v>500</v>
      </c>
      <c r="F6" s="245">
        <v>0</v>
      </c>
      <c r="G6" s="245">
        <f>G5+E6-F6</f>
        <v>500</v>
      </c>
      <c r="H6" s="245">
        <v>0</v>
      </c>
      <c r="I6" s="26"/>
      <c r="J6" s="242">
        <v>45356</v>
      </c>
      <c r="K6" s="243">
        <v>2</v>
      </c>
      <c r="L6" s="244" t="s">
        <v>72</v>
      </c>
      <c r="M6" s="245">
        <v>113</v>
      </c>
      <c r="N6" s="245">
        <v>0</v>
      </c>
      <c r="O6" s="245">
        <f>O5+M6-N6</f>
        <v>1306</v>
      </c>
      <c r="P6" s="245">
        <v>0</v>
      </c>
    </row>
    <row r="7" spans="1:20" ht="17.25">
      <c r="A7" s="340"/>
      <c r="B7" s="246" t="s">
        <v>221</v>
      </c>
      <c r="C7" s="243">
        <v>13</v>
      </c>
      <c r="D7" s="244" t="s">
        <v>82</v>
      </c>
      <c r="E7" s="245">
        <v>0</v>
      </c>
      <c r="F7" s="245">
        <v>500</v>
      </c>
      <c r="G7" s="245">
        <f>G6+E7-F7</f>
        <v>0</v>
      </c>
      <c r="H7" s="245">
        <v>0</v>
      </c>
      <c r="I7" s="26"/>
      <c r="J7" s="242">
        <v>45390</v>
      </c>
      <c r="K7" s="243">
        <v>5</v>
      </c>
      <c r="L7" s="244" t="s">
        <v>72</v>
      </c>
      <c r="M7" s="245">
        <v>22</v>
      </c>
      <c r="N7" s="245">
        <v>0</v>
      </c>
      <c r="O7" s="245">
        <f>O6+M7-N7</f>
        <v>1328</v>
      </c>
      <c r="P7" s="245">
        <v>0</v>
      </c>
      <c r="R7" s="136">
        <f>M6+M7+M8+M9</f>
        <v>448</v>
      </c>
      <c r="S7">
        <v>6347</v>
      </c>
      <c r="T7">
        <v>2168</v>
      </c>
    </row>
    <row r="8" spans="1:20" ht="17.25">
      <c r="A8" s="340"/>
      <c r="B8" s="246"/>
      <c r="C8" s="243"/>
      <c r="D8" s="244"/>
      <c r="E8" s="245"/>
      <c r="F8" s="245"/>
      <c r="G8" s="245"/>
      <c r="H8" s="245"/>
      <c r="I8" s="26"/>
      <c r="J8" s="242">
        <v>45362</v>
      </c>
      <c r="K8" s="247">
        <v>8</v>
      </c>
      <c r="L8" s="248" t="s">
        <v>72</v>
      </c>
      <c r="M8" s="249">
        <v>46</v>
      </c>
      <c r="N8" s="249">
        <v>0</v>
      </c>
      <c r="O8" s="249">
        <f t="shared" ref="O8:O9" si="0">O7+M8-N8</f>
        <v>1374</v>
      </c>
      <c r="P8" s="249">
        <v>0</v>
      </c>
      <c r="S8">
        <v>5124</v>
      </c>
      <c r="T8">
        <v>2049</v>
      </c>
    </row>
    <row r="9" spans="1:20" ht="17.25">
      <c r="A9" s="340"/>
      <c r="B9" s="246"/>
      <c r="C9" s="243"/>
      <c r="D9" s="244"/>
      <c r="E9" s="245"/>
      <c r="F9" s="245"/>
      <c r="G9" s="245"/>
      <c r="H9" s="245"/>
      <c r="I9" s="26"/>
      <c r="J9" s="242">
        <v>45690</v>
      </c>
      <c r="K9" s="247">
        <v>10</v>
      </c>
      <c r="L9" s="248" t="s">
        <v>72</v>
      </c>
      <c r="M9" s="249">
        <v>267</v>
      </c>
      <c r="N9" s="249">
        <v>0</v>
      </c>
      <c r="O9" s="249">
        <f t="shared" si="0"/>
        <v>1641</v>
      </c>
      <c r="P9" s="249">
        <v>0</v>
      </c>
      <c r="T9">
        <f>T7-T8</f>
        <v>119</v>
      </c>
    </row>
    <row r="10" spans="1:20" ht="17.25">
      <c r="A10" s="340"/>
      <c r="B10" s="246"/>
      <c r="C10" s="243"/>
      <c r="D10" s="244"/>
      <c r="E10" s="245"/>
      <c r="F10" s="245"/>
      <c r="G10" s="245"/>
      <c r="H10" s="245"/>
      <c r="I10" s="26"/>
      <c r="J10" s="242">
        <v>45718</v>
      </c>
      <c r="K10" s="247">
        <v>11</v>
      </c>
      <c r="L10" s="248" t="s">
        <v>72</v>
      </c>
      <c r="M10" s="249">
        <v>1</v>
      </c>
      <c r="N10" s="249">
        <v>0</v>
      </c>
      <c r="O10" s="249">
        <f t="shared" ref="O10" si="1">O9+M10-N10</f>
        <v>1642</v>
      </c>
      <c r="P10" s="249">
        <v>0</v>
      </c>
      <c r="S10">
        <f>S7-S8</f>
        <v>1223</v>
      </c>
    </row>
    <row r="11" spans="1:20" ht="15" customHeight="1">
      <c r="A11" s="340"/>
      <c r="B11" s="246"/>
      <c r="C11" s="243"/>
      <c r="D11" s="244"/>
      <c r="E11" s="245"/>
      <c r="F11" s="245"/>
      <c r="G11" s="245"/>
      <c r="H11" s="245"/>
      <c r="I11" s="26"/>
      <c r="J11" s="242"/>
      <c r="K11" s="247"/>
      <c r="L11" s="248"/>
      <c r="M11" s="249"/>
      <c r="N11" s="249"/>
      <c r="O11" s="249"/>
      <c r="P11" s="249"/>
    </row>
    <row r="12" spans="1:20" ht="12" customHeight="1">
      <c r="A12" s="340"/>
      <c r="B12" s="246"/>
      <c r="C12" s="243"/>
      <c r="D12" s="244"/>
      <c r="E12" s="245"/>
      <c r="F12" s="245"/>
      <c r="G12" s="245"/>
      <c r="H12" s="245"/>
      <c r="I12" s="26"/>
      <c r="J12" s="242"/>
      <c r="K12" s="247"/>
      <c r="L12" s="248"/>
      <c r="M12" s="249"/>
      <c r="N12" s="249"/>
      <c r="O12" s="249"/>
      <c r="P12" s="249"/>
    </row>
    <row r="13" spans="1:20" ht="12" customHeight="1">
      <c r="A13" s="340"/>
      <c r="B13" s="246"/>
      <c r="C13" s="243"/>
      <c r="D13" s="244"/>
      <c r="E13" s="245"/>
      <c r="F13" s="245"/>
      <c r="G13" s="245"/>
      <c r="H13" s="245"/>
      <c r="I13" s="250"/>
      <c r="J13" s="242"/>
      <c r="K13" s="243"/>
      <c r="L13" s="251"/>
      <c r="M13" s="245"/>
      <c r="N13" s="245"/>
      <c r="O13" s="245"/>
      <c r="P13" s="245"/>
    </row>
    <row r="14" spans="1:20" ht="19.5" customHeight="1">
      <c r="A14" s="340"/>
      <c r="B14" s="105" t="s">
        <v>225</v>
      </c>
      <c r="C14" s="252">
        <v>15</v>
      </c>
      <c r="D14" s="253" t="s">
        <v>28</v>
      </c>
      <c r="E14" s="254">
        <f>SUM(E5:E13)</f>
        <v>500</v>
      </c>
      <c r="F14" s="254">
        <f>SUM(F5:F13)</f>
        <v>500</v>
      </c>
      <c r="G14" s="254">
        <f>G13+E14-F14</f>
        <v>0</v>
      </c>
      <c r="H14" s="254">
        <v>0</v>
      </c>
      <c r="I14" s="250"/>
      <c r="J14" s="105" t="s">
        <v>225</v>
      </c>
      <c r="K14" s="252">
        <v>15</v>
      </c>
      <c r="L14" s="253" t="s">
        <v>28</v>
      </c>
      <c r="M14" s="255">
        <f>SUM(M5:M13)</f>
        <v>1642</v>
      </c>
      <c r="N14" s="255">
        <f>SUM(N5:N13)</f>
        <v>0</v>
      </c>
      <c r="O14" s="255">
        <f>O13+M14-N14</f>
        <v>1642</v>
      </c>
      <c r="P14" s="255">
        <v>0</v>
      </c>
    </row>
    <row r="15" spans="1:20" ht="39.75" customHeight="1">
      <c r="A15" s="340"/>
      <c r="B15" s="84"/>
      <c r="C15" s="85"/>
      <c r="D15" s="86"/>
      <c r="E15" s="87"/>
      <c r="F15" s="87"/>
      <c r="G15" s="87"/>
      <c r="H15" s="87"/>
      <c r="I15" s="26"/>
      <c r="J15" s="88"/>
      <c r="K15" s="89"/>
      <c r="L15" s="86"/>
      <c r="M15" s="90"/>
      <c r="N15" s="90"/>
      <c r="O15" s="90"/>
      <c r="P15" s="90"/>
    </row>
    <row r="16" spans="1:20" ht="31.5" customHeight="1">
      <c r="A16" s="340"/>
      <c r="B16" s="341" t="s">
        <v>224</v>
      </c>
      <c r="C16" s="342"/>
      <c r="D16" s="342"/>
      <c r="E16" s="342"/>
      <c r="F16" s="342"/>
      <c r="G16" s="342"/>
      <c r="H16" s="342"/>
      <c r="I16" s="250"/>
      <c r="J16" s="341" t="s">
        <v>224</v>
      </c>
      <c r="K16" s="342"/>
      <c r="L16" s="342"/>
      <c r="M16" s="342"/>
      <c r="N16" s="342"/>
      <c r="O16" s="342"/>
      <c r="P16" s="342"/>
    </row>
    <row r="17" spans="1:22" ht="21">
      <c r="A17" s="340"/>
      <c r="B17" s="343" t="s">
        <v>197</v>
      </c>
      <c r="C17" s="344"/>
      <c r="D17" s="344"/>
      <c r="E17" s="344"/>
      <c r="F17" s="344"/>
      <c r="G17" s="344"/>
      <c r="H17" s="344"/>
      <c r="I17" s="250"/>
      <c r="J17" s="343" t="s">
        <v>195</v>
      </c>
      <c r="K17" s="344"/>
      <c r="L17" s="344"/>
      <c r="M17" s="344"/>
      <c r="N17" s="344"/>
      <c r="O17" s="344"/>
      <c r="P17" s="344"/>
    </row>
    <row r="18" spans="1:22" ht="37.5">
      <c r="A18" s="340"/>
      <c r="B18" s="240" t="s">
        <v>19</v>
      </c>
      <c r="C18" s="241" t="s">
        <v>20</v>
      </c>
      <c r="D18" s="240" t="s">
        <v>21</v>
      </c>
      <c r="E18" s="241" t="s">
        <v>22</v>
      </c>
      <c r="F18" s="241" t="s">
        <v>23</v>
      </c>
      <c r="G18" s="241" t="s">
        <v>24</v>
      </c>
      <c r="H18" s="241" t="s">
        <v>25</v>
      </c>
      <c r="I18" s="250"/>
      <c r="J18" s="240" t="s">
        <v>19</v>
      </c>
      <c r="K18" s="241" t="s">
        <v>20</v>
      </c>
      <c r="L18" s="240" t="s">
        <v>21</v>
      </c>
      <c r="M18" s="241" t="s">
        <v>22</v>
      </c>
      <c r="N18" s="241" t="s">
        <v>23</v>
      </c>
      <c r="O18" s="241" t="s">
        <v>24</v>
      </c>
      <c r="P18" s="241" t="s">
        <v>25</v>
      </c>
    </row>
    <row r="19" spans="1:22" ht="17.25">
      <c r="A19" s="340"/>
      <c r="B19" s="242">
        <v>45295</v>
      </c>
      <c r="C19" s="243">
        <v>1</v>
      </c>
      <c r="D19" s="244" t="s">
        <v>26</v>
      </c>
      <c r="E19" s="245">
        <v>0</v>
      </c>
      <c r="F19" s="245">
        <v>0</v>
      </c>
      <c r="G19" s="245">
        <f>E19-F19</f>
        <v>0</v>
      </c>
      <c r="H19" s="245">
        <v>0</v>
      </c>
      <c r="I19" s="250"/>
      <c r="J19" s="242">
        <v>45295</v>
      </c>
      <c r="K19" s="256">
        <v>1</v>
      </c>
      <c r="L19" s="244" t="s">
        <v>26</v>
      </c>
      <c r="M19" s="245">
        <v>0</v>
      </c>
      <c r="N19" s="245">
        <v>0</v>
      </c>
      <c r="O19" s="245">
        <f>M19-N19</f>
        <v>0</v>
      </c>
      <c r="P19" s="245">
        <v>0</v>
      </c>
      <c r="V19">
        <v>1630.4</v>
      </c>
    </row>
    <row r="20" spans="1:22" ht="17.25">
      <c r="A20" s="340"/>
      <c r="B20" s="246" t="s">
        <v>216</v>
      </c>
      <c r="C20" s="243">
        <v>9</v>
      </c>
      <c r="D20" s="244" t="s">
        <v>27</v>
      </c>
      <c r="E20" s="258">
        <v>10000</v>
      </c>
      <c r="F20" s="245">
        <v>0</v>
      </c>
      <c r="G20" s="258">
        <f>G19+E20-F20</f>
        <v>10000</v>
      </c>
      <c r="H20" s="245">
        <v>0</v>
      </c>
      <c r="I20" s="250"/>
      <c r="J20" s="242" t="s">
        <v>266</v>
      </c>
      <c r="K20" s="256">
        <v>4</v>
      </c>
      <c r="L20" s="244" t="s">
        <v>27</v>
      </c>
      <c r="M20" s="245">
        <v>1040</v>
      </c>
      <c r="N20" s="245">
        <v>0</v>
      </c>
      <c r="O20" s="245">
        <f>O19+M20-N20</f>
        <v>1040</v>
      </c>
      <c r="P20" s="245">
        <v>0</v>
      </c>
      <c r="V20">
        <v>27</v>
      </c>
    </row>
    <row r="21" spans="1:22" ht="17.25">
      <c r="A21" s="340"/>
      <c r="B21" s="246" t="s">
        <v>287</v>
      </c>
      <c r="C21" s="243">
        <v>11</v>
      </c>
      <c r="D21" s="244" t="s">
        <v>226</v>
      </c>
      <c r="E21" s="245">
        <v>0</v>
      </c>
      <c r="F21" s="258">
        <v>10000</v>
      </c>
      <c r="G21" s="245">
        <f>G20+E21-F21</f>
        <v>0</v>
      </c>
      <c r="H21" s="245">
        <v>0</v>
      </c>
      <c r="I21" s="250"/>
      <c r="J21" s="242" t="s">
        <v>268</v>
      </c>
      <c r="K21" s="243">
        <v>6</v>
      </c>
      <c r="L21" s="244" t="s">
        <v>227</v>
      </c>
      <c r="M21" s="245">
        <v>0</v>
      </c>
      <c r="N21" s="258">
        <v>1040</v>
      </c>
      <c r="O21" s="245">
        <v>0</v>
      </c>
      <c r="P21" s="245">
        <v>0</v>
      </c>
      <c r="V21">
        <v>345</v>
      </c>
    </row>
    <row r="22" spans="1:22" ht="17.25">
      <c r="A22" s="340"/>
      <c r="B22" s="246"/>
      <c r="C22" s="243"/>
      <c r="D22" s="244"/>
      <c r="E22" s="245"/>
      <c r="F22" s="245"/>
      <c r="G22" s="245"/>
      <c r="H22" s="245"/>
      <c r="I22" s="250"/>
      <c r="J22" s="242"/>
      <c r="K22" s="257"/>
      <c r="L22" s="244"/>
      <c r="M22" s="245"/>
      <c r="N22" s="245"/>
      <c r="O22" s="245"/>
      <c r="P22" s="245"/>
      <c r="V22">
        <f>SUM(V19:V21)</f>
        <v>2002.4</v>
      </c>
    </row>
    <row r="23" spans="1:22" ht="17.25">
      <c r="A23" s="340"/>
      <c r="B23" s="242"/>
      <c r="C23" s="243"/>
      <c r="D23" s="244"/>
      <c r="E23" s="245"/>
      <c r="F23" s="258"/>
      <c r="G23" s="245"/>
      <c r="H23" s="245"/>
      <c r="I23" s="250"/>
      <c r="J23" s="242"/>
      <c r="K23" s="257"/>
      <c r="L23" s="259"/>
      <c r="M23" s="245"/>
      <c r="N23" s="245"/>
      <c r="O23" s="245"/>
      <c r="P23" s="245"/>
      <c r="V23">
        <v>1000</v>
      </c>
    </row>
    <row r="24" spans="1:22" ht="17.25">
      <c r="A24" s="340"/>
      <c r="B24" s="242"/>
      <c r="C24" s="243"/>
      <c r="D24" s="244"/>
      <c r="E24" s="245"/>
      <c r="F24" s="258"/>
      <c r="G24" s="245"/>
      <c r="H24" s="245"/>
      <c r="I24" s="250"/>
      <c r="J24" s="242"/>
      <c r="K24" s="257"/>
      <c r="L24" s="251"/>
      <c r="M24" s="245"/>
      <c r="N24" s="245"/>
      <c r="O24" s="245"/>
      <c r="P24" s="245"/>
      <c r="V24">
        <f>V22+V23</f>
        <v>3002.4</v>
      </c>
    </row>
    <row r="25" spans="1:22" ht="17.25">
      <c r="A25" s="340"/>
      <c r="B25" s="105" t="s">
        <v>225</v>
      </c>
      <c r="C25" s="252">
        <v>15</v>
      </c>
      <c r="D25" s="260" t="s">
        <v>28</v>
      </c>
      <c r="E25" s="279">
        <f>SUM(E19:E24)</f>
        <v>10000</v>
      </c>
      <c r="F25" s="279">
        <f>SUM(F19:F24)</f>
        <v>10000</v>
      </c>
      <c r="G25" s="261">
        <f>E25-F25</f>
        <v>0</v>
      </c>
      <c r="H25" s="261">
        <v>0</v>
      </c>
      <c r="I25" s="250"/>
      <c r="J25" s="105" t="s">
        <v>225</v>
      </c>
      <c r="K25" s="252">
        <v>15</v>
      </c>
      <c r="L25" s="262"/>
      <c r="M25" s="261">
        <f>SUM(M19:M24)</f>
        <v>1040</v>
      </c>
      <c r="N25" s="279">
        <f>SUM(N19:N24)</f>
        <v>1040</v>
      </c>
      <c r="O25" s="261">
        <v>0</v>
      </c>
      <c r="P25" s="261">
        <v>0</v>
      </c>
    </row>
    <row r="26" spans="1:22" ht="17.25">
      <c r="A26" s="26"/>
      <c r="B26" s="84"/>
      <c r="C26" s="85"/>
      <c r="D26" s="263"/>
      <c r="E26" s="264"/>
      <c r="F26" s="264"/>
      <c r="G26" s="264"/>
      <c r="H26" s="264"/>
      <c r="I26" s="26"/>
      <c r="J26" s="84"/>
      <c r="K26" s="85"/>
      <c r="L26" s="265"/>
      <c r="M26" s="264"/>
      <c r="N26" s="266"/>
      <c r="O26" s="264"/>
      <c r="P26" s="264"/>
    </row>
    <row r="27" spans="1:22" ht="48" customHeight="1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</row>
    <row r="28" spans="1:22" ht="27">
      <c r="A28" s="340"/>
      <c r="B28" s="341" t="s">
        <v>224</v>
      </c>
      <c r="C28" s="342"/>
      <c r="D28" s="342"/>
      <c r="E28" s="342"/>
      <c r="F28" s="342"/>
      <c r="G28" s="342"/>
      <c r="H28" s="342"/>
      <c r="I28" s="26"/>
      <c r="J28" s="341" t="s">
        <v>224</v>
      </c>
      <c r="K28" s="342"/>
      <c r="L28" s="342"/>
      <c r="M28" s="342"/>
      <c r="N28" s="342"/>
      <c r="O28" s="342"/>
      <c r="P28" s="342"/>
    </row>
    <row r="29" spans="1:22" ht="21">
      <c r="A29" s="340"/>
      <c r="B29" s="343" t="s">
        <v>228</v>
      </c>
      <c r="C29" s="344"/>
      <c r="D29" s="344"/>
      <c r="E29" s="344"/>
      <c r="F29" s="344"/>
      <c r="G29" s="344"/>
      <c r="H29" s="344"/>
      <c r="I29" s="26"/>
      <c r="J29" s="343" t="s">
        <v>229</v>
      </c>
      <c r="K29" s="344"/>
      <c r="L29" s="344"/>
      <c r="M29" s="344"/>
      <c r="N29" s="344"/>
      <c r="O29" s="344"/>
      <c r="P29" s="344"/>
    </row>
    <row r="30" spans="1:22" ht="37.5">
      <c r="A30" s="340"/>
      <c r="B30" s="240" t="s">
        <v>19</v>
      </c>
      <c r="C30" s="241" t="s">
        <v>20</v>
      </c>
      <c r="D30" s="240" t="s">
        <v>21</v>
      </c>
      <c r="E30" s="241" t="s">
        <v>22</v>
      </c>
      <c r="F30" s="241" t="s">
        <v>23</v>
      </c>
      <c r="G30" s="241" t="s">
        <v>24</v>
      </c>
      <c r="H30" s="241" t="s">
        <v>25</v>
      </c>
      <c r="I30" s="26"/>
      <c r="J30" s="240" t="s">
        <v>19</v>
      </c>
      <c r="K30" s="241" t="s">
        <v>20</v>
      </c>
      <c r="L30" s="240" t="s">
        <v>21</v>
      </c>
      <c r="M30" s="241" t="s">
        <v>22</v>
      </c>
      <c r="N30" s="241" t="s">
        <v>23</v>
      </c>
      <c r="O30" s="241" t="s">
        <v>24</v>
      </c>
      <c r="P30" s="241" t="s">
        <v>25</v>
      </c>
    </row>
    <row r="31" spans="1:22" ht="17.25">
      <c r="A31" s="340"/>
      <c r="B31" s="242">
        <v>45295</v>
      </c>
      <c r="C31" s="243">
        <v>1</v>
      </c>
      <c r="D31" s="244" t="s">
        <v>26</v>
      </c>
      <c r="E31" s="245">
        <v>0</v>
      </c>
      <c r="F31" s="245">
        <v>0</v>
      </c>
      <c r="G31" s="245">
        <f>E31-F31</f>
        <v>0</v>
      </c>
      <c r="H31" s="245">
        <v>0</v>
      </c>
      <c r="I31" s="26"/>
      <c r="J31" s="242">
        <v>45295</v>
      </c>
      <c r="K31" s="243">
        <v>1</v>
      </c>
      <c r="L31" s="244" t="s">
        <v>26</v>
      </c>
      <c r="M31" s="245">
        <v>0</v>
      </c>
      <c r="N31" s="245">
        <v>0</v>
      </c>
      <c r="O31" s="245">
        <f>M31-N31</f>
        <v>0</v>
      </c>
      <c r="P31" s="245">
        <v>0</v>
      </c>
    </row>
    <row r="32" spans="1:22" ht="17.25">
      <c r="A32" s="340"/>
      <c r="B32" s="246" t="s">
        <v>219</v>
      </c>
      <c r="C32" s="243">
        <v>13</v>
      </c>
      <c r="D32" s="244" t="s">
        <v>27</v>
      </c>
      <c r="E32" s="245">
        <v>500</v>
      </c>
      <c r="F32" s="245">
        <v>0</v>
      </c>
      <c r="G32" s="245">
        <f>G31+E32-F32</f>
        <v>500</v>
      </c>
      <c r="H32" s="245">
        <v>0</v>
      </c>
      <c r="I32" s="26"/>
      <c r="J32" s="246" t="s">
        <v>204</v>
      </c>
      <c r="K32" s="243">
        <v>6</v>
      </c>
      <c r="L32" s="244" t="s">
        <v>27</v>
      </c>
      <c r="M32" s="245">
        <v>1400</v>
      </c>
      <c r="N32" s="245">
        <v>0</v>
      </c>
      <c r="O32" s="245">
        <f>O31+M32-N32</f>
        <v>1400</v>
      </c>
      <c r="P32" s="245">
        <v>0</v>
      </c>
    </row>
    <row r="33" spans="1:18" ht="17.25">
      <c r="A33" s="340"/>
      <c r="B33" s="246" t="s">
        <v>221</v>
      </c>
      <c r="C33" s="243">
        <v>13</v>
      </c>
      <c r="D33" s="244" t="s">
        <v>83</v>
      </c>
      <c r="E33" s="245">
        <v>0</v>
      </c>
      <c r="F33" s="245">
        <v>500</v>
      </c>
      <c r="G33" s="245">
        <f>G32+E33-F33</f>
        <v>0</v>
      </c>
      <c r="H33" s="245">
        <v>0</v>
      </c>
      <c r="I33" s="26"/>
      <c r="J33" s="246" t="s">
        <v>268</v>
      </c>
      <c r="K33" s="243">
        <v>6</v>
      </c>
      <c r="L33" s="244" t="s">
        <v>93</v>
      </c>
      <c r="M33" s="245">
        <v>0</v>
      </c>
      <c r="N33" s="258">
        <v>1400</v>
      </c>
      <c r="O33" s="245">
        <f>O32+M33-N33</f>
        <v>0</v>
      </c>
      <c r="P33" s="245">
        <v>0</v>
      </c>
    </row>
    <row r="34" spans="1:18" ht="17.25">
      <c r="A34" s="340"/>
      <c r="B34" s="246"/>
      <c r="C34" s="243"/>
      <c r="D34" s="244"/>
      <c r="E34" s="245"/>
      <c r="F34" s="245"/>
      <c r="G34" s="245"/>
      <c r="H34" s="245"/>
      <c r="I34" s="26"/>
      <c r="J34" s="242"/>
      <c r="K34" s="243"/>
      <c r="L34" s="248"/>
      <c r="M34" s="245"/>
      <c r="N34" s="267"/>
      <c r="O34" s="258"/>
      <c r="P34" s="245"/>
    </row>
    <row r="35" spans="1:18" ht="17.25">
      <c r="A35" s="340"/>
      <c r="B35" s="246"/>
      <c r="C35" s="243"/>
      <c r="D35" s="244"/>
      <c r="E35" s="245"/>
      <c r="F35" s="245"/>
      <c r="G35" s="245"/>
      <c r="H35" s="245"/>
      <c r="I35" s="26"/>
      <c r="J35" s="242"/>
      <c r="K35" s="243"/>
      <c r="L35" s="244"/>
      <c r="M35" s="245"/>
      <c r="N35" s="245"/>
      <c r="O35" s="258"/>
      <c r="P35" s="245"/>
    </row>
    <row r="36" spans="1:18" ht="17.25">
      <c r="A36" s="340"/>
      <c r="B36" s="246"/>
      <c r="C36" s="243"/>
      <c r="D36" s="244"/>
      <c r="E36" s="245"/>
      <c r="F36" s="245"/>
      <c r="G36" s="245"/>
      <c r="H36" s="245"/>
      <c r="I36" s="250"/>
      <c r="J36" s="242"/>
      <c r="K36" s="243"/>
      <c r="L36" s="251"/>
      <c r="M36" s="245"/>
      <c r="N36" s="245"/>
      <c r="O36" s="258"/>
      <c r="P36" s="245"/>
    </row>
    <row r="37" spans="1:18" ht="17.25">
      <c r="A37" s="340"/>
      <c r="B37" s="105" t="s">
        <v>225</v>
      </c>
      <c r="C37" s="252">
        <v>15</v>
      </c>
      <c r="D37" s="253" t="s">
        <v>28</v>
      </c>
      <c r="E37" s="254">
        <f>E31+E32+E33</f>
        <v>500</v>
      </c>
      <c r="F37" s="254">
        <f>F31+F32+F33</f>
        <v>500</v>
      </c>
      <c r="G37" s="254">
        <v>0</v>
      </c>
      <c r="H37" s="254">
        <v>0</v>
      </c>
      <c r="I37" s="250"/>
      <c r="J37" s="105" t="s">
        <v>225</v>
      </c>
      <c r="K37" s="252">
        <v>15</v>
      </c>
      <c r="L37" s="253" t="s">
        <v>28</v>
      </c>
      <c r="M37" s="255">
        <f>M31+M32+M33+M34</f>
        <v>1400</v>
      </c>
      <c r="N37" s="268">
        <f>N31+N32+N33+N34</f>
        <v>1400</v>
      </c>
      <c r="O37" s="255">
        <v>0</v>
      </c>
      <c r="P37" s="255">
        <v>0</v>
      </c>
    </row>
    <row r="38" spans="1:18" ht="17.25">
      <c r="A38" s="340"/>
      <c r="B38" s="84"/>
      <c r="C38" s="85"/>
      <c r="D38" s="86"/>
      <c r="E38" s="87"/>
      <c r="F38" s="87"/>
      <c r="G38" s="87"/>
      <c r="H38" s="87"/>
      <c r="I38" s="26"/>
      <c r="J38" s="88"/>
      <c r="K38" s="89"/>
      <c r="L38" s="86"/>
      <c r="M38" s="90"/>
      <c r="N38" s="90"/>
      <c r="O38" s="90"/>
      <c r="P38" s="90"/>
    </row>
    <row r="39" spans="1:18" ht="27">
      <c r="A39" s="340"/>
      <c r="B39" s="341" t="s">
        <v>224</v>
      </c>
      <c r="C39" s="342"/>
      <c r="D39" s="342"/>
      <c r="E39" s="342"/>
      <c r="F39" s="342"/>
      <c r="G39" s="342"/>
      <c r="H39" s="342"/>
      <c r="I39" s="250"/>
      <c r="J39" s="341" t="s">
        <v>224</v>
      </c>
      <c r="K39" s="342"/>
      <c r="L39" s="342"/>
      <c r="M39" s="342"/>
      <c r="N39" s="342"/>
      <c r="O39" s="342"/>
      <c r="P39" s="342"/>
    </row>
    <row r="40" spans="1:18" ht="21">
      <c r="A40" s="340"/>
      <c r="B40" s="343" t="s">
        <v>230</v>
      </c>
      <c r="C40" s="344"/>
      <c r="D40" s="344"/>
      <c r="E40" s="344"/>
      <c r="F40" s="344"/>
      <c r="G40" s="344"/>
      <c r="H40" s="344"/>
      <c r="I40" s="250"/>
      <c r="J40" s="343" t="s">
        <v>196</v>
      </c>
      <c r="K40" s="344"/>
      <c r="L40" s="344"/>
      <c r="M40" s="344"/>
      <c r="N40" s="344"/>
      <c r="O40" s="344"/>
      <c r="P40" s="344"/>
    </row>
    <row r="41" spans="1:18" ht="37.5">
      <c r="A41" s="340"/>
      <c r="B41" s="240" t="s">
        <v>19</v>
      </c>
      <c r="C41" s="241" t="s">
        <v>20</v>
      </c>
      <c r="D41" s="240" t="s">
        <v>21</v>
      </c>
      <c r="E41" s="241" t="s">
        <v>22</v>
      </c>
      <c r="F41" s="241" t="s">
        <v>23</v>
      </c>
      <c r="G41" s="241" t="s">
        <v>24</v>
      </c>
      <c r="H41" s="241" t="s">
        <v>25</v>
      </c>
      <c r="I41" s="250"/>
      <c r="J41" s="240" t="s">
        <v>19</v>
      </c>
      <c r="K41" s="241" t="s">
        <v>20</v>
      </c>
      <c r="L41" s="240" t="s">
        <v>21</v>
      </c>
      <c r="M41" s="241" t="s">
        <v>22</v>
      </c>
      <c r="N41" s="241" t="s">
        <v>23</v>
      </c>
      <c r="O41" s="241" t="s">
        <v>24</v>
      </c>
      <c r="P41" s="241" t="s">
        <v>25</v>
      </c>
    </row>
    <row r="42" spans="1:18" ht="17.25">
      <c r="A42" s="340"/>
      <c r="B42" s="242">
        <v>45295</v>
      </c>
      <c r="C42" s="243">
        <v>1</v>
      </c>
      <c r="D42" s="244" t="s">
        <v>26</v>
      </c>
      <c r="E42" s="245">
        <v>0</v>
      </c>
      <c r="F42" s="245">
        <v>0</v>
      </c>
      <c r="G42" s="245">
        <f>E42-F42</f>
        <v>0</v>
      </c>
      <c r="H42" s="245">
        <v>0</v>
      </c>
      <c r="I42" s="250"/>
      <c r="J42" s="242">
        <v>45295</v>
      </c>
      <c r="K42" s="256">
        <v>1</v>
      </c>
      <c r="L42" s="244" t="s">
        <v>26</v>
      </c>
      <c r="M42" s="245">
        <v>0</v>
      </c>
      <c r="N42" s="245">
        <v>0</v>
      </c>
      <c r="O42" s="245">
        <f>M42-N42</f>
        <v>0</v>
      </c>
      <c r="P42" s="245">
        <v>0</v>
      </c>
    </row>
    <row r="43" spans="1:18" ht="17.25">
      <c r="A43" s="340"/>
      <c r="B43" s="242" t="s">
        <v>200</v>
      </c>
      <c r="C43" s="243">
        <v>2</v>
      </c>
      <c r="D43" s="244" t="s">
        <v>27</v>
      </c>
      <c r="E43" s="245">
        <v>3600</v>
      </c>
      <c r="F43" s="245">
        <v>0</v>
      </c>
      <c r="G43" s="245">
        <f>G42+E43-F43</f>
        <v>3600</v>
      </c>
      <c r="H43" s="245">
        <v>0</v>
      </c>
      <c r="I43" s="250"/>
      <c r="J43" s="242" t="s">
        <v>202</v>
      </c>
      <c r="K43" s="256">
        <v>6</v>
      </c>
      <c r="L43" s="244" t="s">
        <v>27</v>
      </c>
      <c r="M43" s="245">
        <v>1000</v>
      </c>
      <c r="N43" s="245">
        <v>0</v>
      </c>
      <c r="O43" s="245">
        <f>O42+M43-N43</f>
        <v>1000</v>
      </c>
      <c r="P43" s="245">
        <v>0</v>
      </c>
    </row>
    <row r="44" spans="1:18" ht="17.25">
      <c r="A44" s="340"/>
      <c r="B44" s="242">
        <v>45358</v>
      </c>
      <c r="C44" s="243">
        <v>4</v>
      </c>
      <c r="D44" s="269" t="s">
        <v>84</v>
      </c>
      <c r="E44" s="245">
        <v>0</v>
      </c>
      <c r="F44" s="245">
        <v>3600</v>
      </c>
      <c r="G44" s="245">
        <f>G43+E44-F44</f>
        <v>0</v>
      </c>
      <c r="H44" s="245">
        <v>0</v>
      </c>
      <c r="I44" s="250"/>
      <c r="J44" s="242" t="s">
        <v>268</v>
      </c>
      <c r="K44" s="256">
        <v>6</v>
      </c>
      <c r="L44" s="244" t="s">
        <v>85</v>
      </c>
      <c r="M44" s="245">
        <v>0</v>
      </c>
      <c r="N44" s="245">
        <v>500</v>
      </c>
      <c r="O44" s="245">
        <f>O43+M44-N44</f>
        <v>500</v>
      </c>
      <c r="P44" s="245">
        <v>0</v>
      </c>
    </row>
    <row r="45" spans="1:18" ht="17.25">
      <c r="A45" s="340"/>
      <c r="B45" s="242" t="s">
        <v>206</v>
      </c>
      <c r="C45" s="243">
        <v>8</v>
      </c>
      <c r="D45" s="244" t="s">
        <v>27</v>
      </c>
      <c r="E45" s="245">
        <v>5400</v>
      </c>
      <c r="F45" s="245">
        <v>0</v>
      </c>
      <c r="G45" s="245">
        <f>G44+E45-F45</f>
        <v>5400</v>
      </c>
      <c r="H45" s="245">
        <v>0</v>
      </c>
      <c r="I45" s="250"/>
      <c r="J45" s="242" t="s">
        <v>221</v>
      </c>
      <c r="K45" s="256">
        <v>13</v>
      </c>
      <c r="L45" s="244" t="s">
        <v>85</v>
      </c>
      <c r="M45" s="245">
        <v>0</v>
      </c>
      <c r="N45" s="245">
        <v>500</v>
      </c>
      <c r="O45" s="245">
        <f>O44+M45-N45</f>
        <v>0</v>
      </c>
      <c r="P45" s="245">
        <v>0</v>
      </c>
    </row>
    <row r="46" spans="1:18" ht="17.25">
      <c r="A46" s="340"/>
      <c r="B46" s="242">
        <v>45931</v>
      </c>
      <c r="C46" s="243">
        <v>10</v>
      </c>
      <c r="D46" s="269" t="s">
        <v>84</v>
      </c>
      <c r="E46" s="245">
        <v>0</v>
      </c>
      <c r="F46" s="270">
        <v>5400</v>
      </c>
      <c r="G46" s="245">
        <f>G45+E46-F46</f>
        <v>0</v>
      </c>
      <c r="H46" s="245">
        <v>0</v>
      </c>
      <c r="I46" s="250"/>
      <c r="J46" s="242"/>
      <c r="K46" s="257"/>
      <c r="L46" s="259"/>
      <c r="M46" s="245"/>
      <c r="N46" s="245"/>
      <c r="O46" s="245"/>
      <c r="P46" s="245"/>
    </row>
    <row r="47" spans="1:18" ht="17.25">
      <c r="A47" s="340"/>
      <c r="B47" s="242" t="s">
        <v>222</v>
      </c>
      <c r="C47" s="243">
        <v>14</v>
      </c>
      <c r="D47" s="244" t="s">
        <v>27</v>
      </c>
      <c r="E47" s="245">
        <v>1800</v>
      </c>
      <c r="F47" s="245">
        <v>0</v>
      </c>
      <c r="G47" s="245">
        <f t="shared" ref="G47" si="2">G46+E47-F47</f>
        <v>1800</v>
      </c>
      <c r="H47" s="245">
        <v>0</v>
      </c>
      <c r="I47" s="250"/>
      <c r="J47" s="242"/>
      <c r="K47" s="257"/>
      <c r="L47" s="251"/>
      <c r="M47" s="245"/>
      <c r="N47" s="245"/>
      <c r="O47" s="245"/>
      <c r="P47" s="245"/>
    </row>
    <row r="48" spans="1:18" ht="17.25">
      <c r="A48" s="340"/>
      <c r="B48" s="242" t="s">
        <v>222</v>
      </c>
      <c r="C48" s="243">
        <v>15</v>
      </c>
      <c r="D48" s="244" t="s">
        <v>27</v>
      </c>
      <c r="E48" s="258">
        <v>14400</v>
      </c>
      <c r="F48" s="245">
        <v>0</v>
      </c>
      <c r="G48" s="258">
        <f>G47+E48-F48</f>
        <v>16200</v>
      </c>
      <c r="H48" s="245">
        <v>0</v>
      </c>
      <c r="I48" s="250"/>
      <c r="J48" s="242"/>
      <c r="K48" s="257"/>
      <c r="L48" s="251"/>
      <c r="M48" s="245"/>
      <c r="N48" s="245"/>
      <c r="O48" s="245"/>
      <c r="P48" s="245"/>
      <c r="R48" s="136">
        <f>E51-E42</f>
        <v>25200</v>
      </c>
    </row>
    <row r="49" spans="1:16" ht="17.25">
      <c r="A49" s="340"/>
      <c r="B49" s="242"/>
      <c r="C49" s="243"/>
      <c r="D49" s="244"/>
      <c r="E49" s="245"/>
      <c r="F49" s="245"/>
      <c r="G49" s="245"/>
      <c r="H49" s="245"/>
      <c r="I49" s="250"/>
      <c r="J49" s="242"/>
      <c r="K49" s="257"/>
      <c r="L49" s="251"/>
      <c r="M49" s="245"/>
      <c r="N49" s="245"/>
      <c r="O49" s="245"/>
      <c r="P49" s="245"/>
    </row>
    <row r="50" spans="1:16" ht="17.25">
      <c r="A50" s="340"/>
      <c r="B50" s="242"/>
      <c r="C50" s="243"/>
      <c r="D50" s="269"/>
      <c r="E50" s="245"/>
      <c r="F50" s="245"/>
      <c r="G50" s="245"/>
      <c r="H50" s="245"/>
      <c r="I50" s="250"/>
      <c r="J50" s="242"/>
      <c r="K50" s="257"/>
      <c r="L50" s="251"/>
      <c r="M50" s="245"/>
      <c r="N50" s="245"/>
      <c r="O50" s="245"/>
      <c r="P50" s="245"/>
    </row>
    <row r="51" spans="1:16" ht="17.25">
      <c r="A51" s="340"/>
      <c r="B51" s="105" t="s">
        <v>225</v>
      </c>
      <c r="C51" s="252">
        <v>15</v>
      </c>
      <c r="D51" s="253" t="s">
        <v>28</v>
      </c>
      <c r="E51" s="271">
        <f>SUM(E42:E50)</f>
        <v>25200</v>
      </c>
      <c r="F51" s="271">
        <f>SUM(F42:F50)</f>
        <v>9000</v>
      </c>
      <c r="G51" s="271">
        <f>G48</f>
        <v>16200</v>
      </c>
      <c r="H51" s="254">
        <v>0</v>
      </c>
      <c r="I51" s="250"/>
      <c r="J51" s="105" t="s">
        <v>225</v>
      </c>
      <c r="K51" s="252">
        <v>15</v>
      </c>
      <c r="L51" s="272"/>
      <c r="M51" s="254">
        <f>M42+M43+M44+M45+M46+M47+M48</f>
        <v>1000</v>
      </c>
      <c r="N51" s="271">
        <f>N42+N43+N44+N45+N46+N47+N48</f>
        <v>1000</v>
      </c>
      <c r="O51" s="254">
        <f t="shared" ref="O51" si="3">O48+M51-N51</f>
        <v>0</v>
      </c>
      <c r="P51" s="254">
        <v>0</v>
      </c>
    </row>
    <row r="52" spans="1:16" ht="42.75" customHeight="1">
      <c r="A52" s="340"/>
      <c r="B52" s="340"/>
      <c r="C52" s="340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</row>
    <row r="53" spans="1:16" ht="48" customHeight="1">
      <c r="A53" s="340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</row>
    <row r="54" spans="1:16" ht="27">
      <c r="A54" s="273"/>
      <c r="B54" s="345" t="s">
        <v>224</v>
      </c>
      <c r="C54" s="346"/>
      <c r="D54" s="346"/>
      <c r="E54" s="346"/>
      <c r="F54" s="346"/>
      <c r="G54" s="346"/>
      <c r="H54" s="346"/>
      <c r="I54" s="26"/>
      <c r="J54" s="345" t="s">
        <v>224</v>
      </c>
      <c r="K54" s="346"/>
      <c r="L54" s="346"/>
      <c r="M54" s="346"/>
      <c r="N54" s="346"/>
      <c r="O54" s="346"/>
      <c r="P54" s="346"/>
    </row>
    <row r="55" spans="1:16" ht="21">
      <c r="A55" s="273"/>
      <c r="B55" s="347" t="s">
        <v>232</v>
      </c>
      <c r="C55" s="348"/>
      <c r="D55" s="348"/>
      <c r="E55" s="348"/>
      <c r="F55" s="348"/>
      <c r="G55" s="348"/>
      <c r="H55" s="348"/>
      <c r="I55" s="26"/>
      <c r="J55" s="347" t="s">
        <v>233</v>
      </c>
      <c r="K55" s="348"/>
      <c r="L55" s="348"/>
      <c r="M55" s="348"/>
      <c r="N55" s="348"/>
      <c r="O55" s="348"/>
      <c r="P55" s="348"/>
    </row>
    <row r="56" spans="1:16" ht="37.5">
      <c r="A56" s="273"/>
      <c r="B56" s="1" t="s">
        <v>19</v>
      </c>
      <c r="C56" s="2" t="s">
        <v>20</v>
      </c>
      <c r="D56" s="1" t="s">
        <v>21</v>
      </c>
      <c r="E56" s="2" t="s">
        <v>22</v>
      </c>
      <c r="F56" s="2" t="s">
        <v>23</v>
      </c>
      <c r="G56" s="2" t="s">
        <v>24</v>
      </c>
      <c r="H56" s="2" t="s">
        <v>25</v>
      </c>
      <c r="I56" s="26"/>
      <c r="J56" s="1" t="s">
        <v>19</v>
      </c>
      <c r="K56" s="2" t="s">
        <v>20</v>
      </c>
      <c r="L56" s="1" t="s">
        <v>21</v>
      </c>
      <c r="M56" s="2" t="s">
        <v>22</v>
      </c>
      <c r="N56" s="2" t="s">
        <v>23</v>
      </c>
      <c r="O56" s="2" t="s">
        <v>24</v>
      </c>
      <c r="P56" s="2" t="s">
        <v>25</v>
      </c>
    </row>
    <row r="57" spans="1:16" ht="17.25">
      <c r="A57" s="273"/>
      <c r="B57" s="242">
        <v>45295</v>
      </c>
      <c r="C57" s="4">
        <v>1</v>
      </c>
      <c r="D57" s="3" t="s">
        <v>26</v>
      </c>
      <c r="E57" s="71">
        <v>0</v>
      </c>
      <c r="F57" s="71">
        <v>0</v>
      </c>
      <c r="G57" s="71">
        <f>E57-F57</f>
        <v>0</v>
      </c>
      <c r="H57" s="71">
        <v>0</v>
      </c>
      <c r="I57" s="26"/>
      <c r="J57" s="242"/>
      <c r="K57" s="4"/>
      <c r="L57" s="3"/>
      <c r="M57" s="71"/>
      <c r="N57" s="71"/>
      <c r="O57" s="71"/>
      <c r="P57" s="71"/>
    </row>
    <row r="58" spans="1:16" ht="17.25">
      <c r="A58" s="273"/>
      <c r="B58" s="242" t="s">
        <v>205</v>
      </c>
      <c r="C58" s="243">
        <v>7</v>
      </c>
      <c r="D58" s="244" t="s">
        <v>27</v>
      </c>
      <c r="E58" s="258">
        <v>29225</v>
      </c>
      <c r="F58" s="245">
        <v>0</v>
      </c>
      <c r="G58" s="258">
        <f>G57+E58-F58</f>
        <v>29225</v>
      </c>
      <c r="H58" s="245">
        <v>0</v>
      </c>
      <c r="I58" s="26"/>
      <c r="J58" s="72"/>
      <c r="K58" s="4"/>
      <c r="L58" s="3"/>
      <c r="M58" s="109"/>
      <c r="N58" s="71"/>
      <c r="O58" s="109"/>
      <c r="P58" s="71"/>
    </row>
    <row r="59" spans="1:16" ht="17.25">
      <c r="A59" s="273"/>
      <c r="B59" s="72" t="s">
        <v>293</v>
      </c>
      <c r="C59" s="4">
        <v>12</v>
      </c>
      <c r="D59" s="3" t="s">
        <v>311</v>
      </c>
      <c r="E59" s="258">
        <v>0</v>
      </c>
      <c r="F59" s="258">
        <v>7800</v>
      </c>
      <c r="G59" s="258">
        <f t="shared" ref="G59:G60" si="4">G58+E59-F59</f>
        <v>21425</v>
      </c>
      <c r="H59" s="245">
        <v>0</v>
      </c>
      <c r="I59" s="26"/>
      <c r="J59" s="72"/>
      <c r="K59" s="4"/>
      <c r="L59" s="3"/>
      <c r="M59" s="71"/>
      <c r="N59" s="109"/>
      <c r="O59" s="71"/>
      <c r="P59" s="71"/>
    </row>
    <row r="60" spans="1:16" ht="17.25">
      <c r="A60" s="273"/>
      <c r="B60" s="70" t="s">
        <v>219</v>
      </c>
      <c r="C60" s="4">
        <v>12</v>
      </c>
      <c r="D60" s="274" t="s">
        <v>312</v>
      </c>
      <c r="E60" s="258">
        <v>0</v>
      </c>
      <c r="F60" s="258">
        <v>15425</v>
      </c>
      <c r="G60" s="258">
        <f t="shared" si="4"/>
        <v>6000</v>
      </c>
      <c r="H60" s="245">
        <v>0</v>
      </c>
      <c r="I60" s="26"/>
      <c r="J60" s="70"/>
      <c r="K60" s="4"/>
      <c r="L60" s="274"/>
      <c r="M60" s="71"/>
      <c r="N60" s="109"/>
      <c r="O60" s="71"/>
      <c r="P60" s="71"/>
    </row>
    <row r="61" spans="1:16" ht="17.25">
      <c r="A61" s="273"/>
      <c r="B61" s="70" t="s">
        <v>221</v>
      </c>
      <c r="C61" s="4">
        <v>14</v>
      </c>
      <c r="D61" s="274" t="s">
        <v>313</v>
      </c>
      <c r="E61" s="258">
        <v>0</v>
      </c>
      <c r="F61" s="258">
        <v>6000</v>
      </c>
      <c r="G61" s="258">
        <f t="shared" ref="G61" si="5">G60+E61-F61</f>
        <v>0</v>
      </c>
      <c r="H61" s="245">
        <v>0</v>
      </c>
      <c r="I61" s="26"/>
      <c r="J61" s="70"/>
      <c r="K61" s="4"/>
      <c r="L61" s="3"/>
      <c r="M61" s="71"/>
      <c r="N61" s="109"/>
      <c r="O61" s="71"/>
      <c r="P61" s="71"/>
    </row>
    <row r="62" spans="1:16" ht="17.25">
      <c r="A62" s="273"/>
      <c r="B62" s="95"/>
      <c r="C62" s="92"/>
      <c r="D62" s="96"/>
      <c r="E62" s="94"/>
      <c r="F62" s="94"/>
      <c r="G62" s="94"/>
      <c r="H62" s="94"/>
      <c r="I62" s="26"/>
      <c r="J62" s="95"/>
      <c r="K62" s="92"/>
      <c r="L62" s="96"/>
      <c r="M62" s="94"/>
      <c r="N62" s="94"/>
      <c r="O62" s="94"/>
      <c r="P62" s="94"/>
    </row>
    <row r="63" spans="1:16" ht="17.25">
      <c r="B63" s="102"/>
      <c r="C63" s="98"/>
      <c r="D63" s="103"/>
      <c r="E63" s="100"/>
      <c r="F63" s="100"/>
      <c r="G63" s="100"/>
      <c r="H63" s="104"/>
      <c r="I63" s="101"/>
      <c r="J63" s="102"/>
      <c r="K63" s="98"/>
      <c r="L63" s="103"/>
      <c r="M63" s="100"/>
      <c r="N63" s="100"/>
      <c r="O63" s="100"/>
      <c r="P63" s="104"/>
    </row>
    <row r="64" spans="1:16" ht="17.25">
      <c r="B64" s="105" t="s">
        <v>225</v>
      </c>
      <c r="C64" s="252">
        <v>15</v>
      </c>
      <c r="D64" s="107" t="s">
        <v>28</v>
      </c>
      <c r="E64" s="122">
        <f>SUM(E57:E63)</f>
        <v>29225</v>
      </c>
      <c r="F64" s="122">
        <f>SUM(F57:F63)</f>
        <v>29225</v>
      </c>
      <c r="G64" s="108">
        <f>G63+E64-F64</f>
        <v>0</v>
      </c>
      <c r="H64" s="108">
        <v>0</v>
      </c>
      <c r="I64" s="101"/>
      <c r="J64" s="105"/>
      <c r="K64" s="106"/>
      <c r="L64" s="107"/>
      <c r="M64" s="108"/>
      <c r="N64" s="108"/>
      <c r="O64" s="108"/>
      <c r="P64" s="108"/>
    </row>
    <row r="65" spans="1:16" ht="58.5" customHeight="1">
      <c r="B65" s="84"/>
      <c r="C65" s="85"/>
      <c r="D65" s="86"/>
      <c r="E65" s="87"/>
      <c r="F65" s="87"/>
      <c r="G65" s="87"/>
      <c r="H65" s="87"/>
      <c r="I65" s="26"/>
      <c r="J65" s="88"/>
      <c r="K65" s="89"/>
      <c r="L65" s="86"/>
      <c r="M65" s="90"/>
      <c r="N65" s="90"/>
      <c r="O65" s="90"/>
      <c r="P65" s="90"/>
    </row>
    <row r="66" spans="1:16" ht="27">
      <c r="A66" s="273"/>
      <c r="B66" s="345" t="s">
        <v>224</v>
      </c>
      <c r="C66" s="346"/>
      <c r="D66" s="346"/>
      <c r="E66" s="346"/>
      <c r="F66" s="346"/>
      <c r="G66" s="346"/>
      <c r="H66" s="346"/>
      <c r="I66" s="26"/>
      <c r="J66" s="345" t="s">
        <v>224</v>
      </c>
      <c r="K66" s="346"/>
      <c r="L66" s="346"/>
      <c r="M66" s="346"/>
      <c r="N66" s="346"/>
      <c r="O66" s="346"/>
      <c r="P66" s="346"/>
    </row>
    <row r="67" spans="1:16" ht="21">
      <c r="A67" s="273"/>
      <c r="B67" s="347" t="s">
        <v>234</v>
      </c>
      <c r="C67" s="348"/>
      <c r="D67" s="348"/>
      <c r="E67" s="348"/>
      <c r="F67" s="348"/>
      <c r="G67" s="348"/>
      <c r="H67" s="348"/>
      <c r="I67" s="26"/>
      <c r="J67" s="347" t="s">
        <v>231</v>
      </c>
      <c r="K67" s="348"/>
      <c r="L67" s="348"/>
      <c r="M67" s="348"/>
      <c r="N67" s="348"/>
      <c r="O67" s="348"/>
      <c r="P67" s="348"/>
    </row>
    <row r="68" spans="1:16" ht="37.5">
      <c r="A68" s="273"/>
      <c r="B68" s="1" t="s">
        <v>19</v>
      </c>
      <c r="C68" s="2" t="s">
        <v>20</v>
      </c>
      <c r="D68" s="1" t="s">
        <v>21</v>
      </c>
      <c r="E68" s="2" t="s">
        <v>22</v>
      </c>
      <c r="F68" s="2" t="s">
        <v>23</v>
      </c>
      <c r="G68" s="2" t="s">
        <v>24</v>
      </c>
      <c r="H68" s="2" t="s">
        <v>25</v>
      </c>
      <c r="I68" s="26"/>
      <c r="J68" s="1" t="s">
        <v>19</v>
      </c>
      <c r="K68" s="2" t="s">
        <v>20</v>
      </c>
      <c r="L68" s="1" t="s">
        <v>21</v>
      </c>
      <c r="M68" s="2" t="s">
        <v>22</v>
      </c>
      <c r="N68" s="2" t="s">
        <v>23</v>
      </c>
      <c r="O68" s="2" t="s">
        <v>24</v>
      </c>
      <c r="P68" s="2" t="s">
        <v>25</v>
      </c>
    </row>
    <row r="69" spans="1:16" ht="17.25">
      <c r="A69" s="273"/>
      <c r="B69" s="242"/>
      <c r="C69" s="4"/>
      <c r="D69" s="3"/>
      <c r="E69" s="109"/>
      <c r="F69" s="71"/>
      <c r="G69" s="109"/>
      <c r="H69" s="71"/>
      <c r="I69" s="26"/>
      <c r="J69" s="70"/>
      <c r="K69" s="4"/>
      <c r="L69" s="3"/>
      <c r="M69" s="71"/>
      <c r="N69" s="71"/>
      <c r="O69" s="71"/>
      <c r="P69" s="71"/>
    </row>
    <row r="70" spans="1:16" ht="17.25">
      <c r="A70" s="273"/>
      <c r="B70" s="72"/>
      <c r="C70" s="4"/>
      <c r="D70" s="3"/>
      <c r="E70" s="109"/>
      <c r="F70" s="109"/>
      <c r="G70" s="109"/>
      <c r="H70" s="71"/>
      <c r="I70" s="26"/>
      <c r="J70" s="72"/>
      <c r="K70" s="4"/>
      <c r="L70" s="3"/>
      <c r="M70" s="109"/>
      <c r="N70" s="71"/>
      <c r="O70" s="109"/>
      <c r="P70" s="71"/>
    </row>
    <row r="71" spans="1:16" ht="17.25">
      <c r="A71" s="273"/>
      <c r="B71" s="72"/>
      <c r="C71" s="4"/>
      <c r="D71" s="3"/>
      <c r="E71" s="109"/>
      <c r="F71" s="109"/>
      <c r="G71" s="109"/>
      <c r="H71" s="71"/>
      <c r="I71" s="26"/>
      <c r="J71" s="72"/>
      <c r="K71" s="4"/>
      <c r="L71" s="3"/>
      <c r="M71" s="71"/>
      <c r="N71" s="109"/>
      <c r="O71" s="71"/>
      <c r="P71" s="71"/>
    </row>
    <row r="72" spans="1:16" ht="17.25">
      <c r="A72" s="273"/>
      <c r="B72" s="72"/>
      <c r="C72" s="4"/>
      <c r="D72" s="3"/>
      <c r="E72" s="109"/>
      <c r="F72" s="71"/>
      <c r="G72" s="109"/>
      <c r="H72" s="71"/>
      <c r="I72" s="26"/>
      <c r="J72" s="70"/>
      <c r="K72" s="4"/>
      <c r="L72" s="274"/>
      <c r="M72" s="71"/>
      <c r="N72" s="109"/>
      <c r="O72" s="71"/>
      <c r="P72" s="71"/>
    </row>
    <row r="73" spans="1:16" ht="17.25">
      <c r="A73" s="273"/>
      <c r="B73" s="72"/>
      <c r="C73" s="4"/>
      <c r="D73" s="3"/>
      <c r="E73" s="71"/>
      <c r="F73" s="71"/>
      <c r="G73" s="71"/>
      <c r="H73" s="71"/>
      <c r="I73" s="26"/>
      <c r="J73" s="70"/>
      <c r="K73" s="4"/>
      <c r="L73" s="3"/>
      <c r="M73" s="71"/>
      <c r="N73" s="109"/>
      <c r="O73" s="71"/>
      <c r="P73" s="71"/>
    </row>
    <row r="74" spans="1:16" ht="17.25">
      <c r="A74" s="273"/>
      <c r="B74" s="91"/>
      <c r="C74" s="92"/>
      <c r="D74" s="93"/>
      <c r="E74" s="94"/>
      <c r="F74" s="94"/>
      <c r="G74" s="94"/>
      <c r="H74" s="94"/>
      <c r="I74" s="26"/>
      <c r="J74" s="95"/>
      <c r="K74" s="92"/>
      <c r="L74" s="96"/>
      <c r="M74" s="94"/>
      <c r="N74" s="94"/>
      <c r="O74" s="94"/>
      <c r="P74" s="94"/>
    </row>
    <row r="75" spans="1:16" ht="17.25">
      <c r="B75" s="97"/>
      <c r="C75" s="98"/>
      <c r="D75" s="99"/>
      <c r="E75" s="100"/>
      <c r="F75" s="100"/>
      <c r="G75" s="100"/>
      <c r="H75" s="100"/>
      <c r="I75" s="101"/>
      <c r="J75" s="102"/>
      <c r="K75" s="98"/>
      <c r="L75" s="103"/>
      <c r="M75" s="100"/>
      <c r="N75" s="100"/>
      <c r="O75" s="100"/>
      <c r="P75" s="104"/>
    </row>
    <row r="76" spans="1:16" ht="17.25">
      <c r="B76" s="105"/>
      <c r="C76" s="106"/>
      <c r="D76" s="107"/>
      <c r="E76" s="122"/>
      <c r="F76" s="122"/>
      <c r="G76" s="122"/>
      <c r="H76" s="108"/>
      <c r="I76" s="101"/>
      <c r="J76" s="105"/>
      <c r="K76" s="106"/>
      <c r="L76" s="107"/>
      <c r="M76" s="108"/>
      <c r="N76" s="108"/>
      <c r="O76" s="108"/>
      <c r="P76" s="108"/>
    </row>
  </sheetData>
  <mergeCells count="30">
    <mergeCell ref="A1:P1"/>
    <mergeCell ref="B2:H2"/>
    <mergeCell ref="J2:P2"/>
    <mergeCell ref="B3:H3"/>
    <mergeCell ref="J3:P3"/>
    <mergeCell ref="A2:A25"/>
    <mergeCell ref="B16:H16"/>
    <mergeCell ref="J16:P16"/>
    <mergeCell ref="B17:H17"/>
    <mergeCell ref="J17:P17"/>
    <mergeCell ref="B66:H66"/>
    <mergeCell ref="J66:P66"/>
    <mergeCell ref="B67:H67"/>
    <mergeCell ref="J67:P67"/>
    <mergeCell ref="A52:P52"/>
    <mergeCell ref="A53:P53"/>
    <mergeCell ref="B54:H54"/>
    <mergeCell ref="J54:P54"/>
    <mergeCell ref="B55:H55"/>
    <mergeCell ref="J55:P55"/>
    <mergeCell ref="A27:P27"/>
    <mergeCell ref="A28:A51"/>
    <mergeCell ref="B28:H28"/>
    <mergeCell ref="J28:P28"/>
    <mergeCell ref="B29:H29"/>
    <mergeCell ref="J29:P29"/>
    <mergeCell ref="B39:H39"/>
    <mergeCell ref="J39:P39"/>
    <mergeCell ref="B40:H40"/>
    <mergeCell ref="J40:P40"/>
  </mergeCells>
  <pageMargins left="0" right="0" top="0" bottom="0" header="0" footer="0"/>
  <pageSetup paperSize="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S37"/>
  <sheetViews>
    <sheetView topLeftCell="B19" zoomScale="118" zoomScaleNormal="118" workbookViewId="0">
      <selection activeCell="B1" sqref="B1:N19"/>
    </sheetView>
  </sheetViews>
  <sheetFormatPr defaultRowHeight="15"/>
  <cols>
    <col min="1" max="1" width="1.28515625" hidden="1" customWidth="1"/>
    <col min="2" max="2" width="15.140625" customWidth="1"/>
    <col min="3" max="3" width="12.85546875" customWidth="1"/>
    <col min="4" max="4" width="11" customWidth="1"/>
    <col min="5" max="5" width="22.85546875" customWidth="1"/>
    <col min="6" max="6" width="12.42578125" customWidth="1"/>
    <col min="7" max="7" width="12" customWidth="1"/>
    <col min="8" max="8" width="11.5703125" customWidth="1"/>
    <col min="9" max="9" width="12.85546875" customWidth="1"/>
    <col min="10" max="10" width="12.5703125" customWidth="1"/>
    <col min="11" max="11" width="19.140625" customWidth="1"/>
    <col min="12" max="12" width="10.85546875" bestFit="1" customWidth="1"/>
    <col min="13" max="13" width="9.140625" customWidth="1"/>
    <col min="14" max="14" width="8" customWidth="1"/>
  </cols>
  <sheetData>
    <row r="1" spans="2:19" ht="66" customHeight="1"/>
    <row r="2" spans="2:19" ht="2.25" customHeight="1"/>
    <row r="3" spans="2:19" ht="21" customHeight="1">
      <c r="B3" s="351" t="s">
        <v>47</v>
      </c>
      <c r="C3" s="352"/>
      <c r="D3" s="352"/>
      <c r="E3" s="352"/>
      <c r="F3" s="349" t="s">
        <v>73</v>
      </c>
      <c r="G3" s="349" t="s">
        <v>74</v>
      </c>
      <c r="H3" s="351" t="s">
        <v>46</v>
      </c>
      <c r="I3" s="351"/>
      <c r="J3" s="351"/>
      <c r="K3" s="349" t="s">
        <v>75</v>
      </c>
      <c r="L3" s="349" t="s">
        <v>76</v>
      </c>
      <c r="M3" s="349" t="s">
        <v>77</v>
      </c>
      <c r="N3" s="350" t="s">
        <v>44</v>
      </c>
    </row>
    <row r="4" spans="2:19" ht="48" customHeight="1">
      <c r="B4" s="140" t="s">
        <v>41</v>
      </c>
      <c r="C4" s="140" t="s">
        <v>42</v>
      </c>
      <c r="D4" s="140" t="s">
        <v>45</v>
      </c>
      <c r="E4" s="140" t="s">
        <v>78</v>
      </c>
      <c r="F4" s="349"/>
      <c r="G4" s="349"/>
      <c r="H4" s="141" t="s">
        <v>43</v>
      </c>
      <c r="I4" s="140" t="s">
        <v>79</v>
      </c>
      <c r="J4" s="140" t="s">
        <v>80</v>
      </c>
      <c r="K4" s="349"/>
      <c r="L4" s="349"/>
      <c r="M4" s="349"/>
      <c r="N4" s="350"/>
      <c r="O4" s="5"/>
      <c r="P4" s="5"/>
      <c r="Q4" s="5"/>
      <c r="R4" s="5"/>
    </row>
    <row r="5" spans="2:19" ht="27" customHeight="1">
      <c r="B5" s="142" t="s">
        <v>316</v>
      </c>
      <c r="C5" s="143">
        <v>45356</v>
      </c>
      <c r="D5" s="153">
        <v>113</v>
      </c>
      <c r="E5" s="150" t="s">
        <v>120</v>
      </c>
      <c r="F5" s="275" t="s">
        <v>48</v>
      </c>
      <c r="G5" s="146" t="s">
        <v>315</v>
      </c>
      <c r="H5" s="146" t="s">
        <v>315</v>
      </c>
      <c r="I5" s="143">
        <f>C5</f>
        <v>45356</v>
      </c>
      <c r="J5" s="143">
        <f>C5</f>
        <v>45356</v>
      </c>
      <c r="K5" s="146" t="s">
        <v>314</v>
      </c>
      <c r="L5" s="144">
        <v>0</v>
      </c>
      <c r="M5" s="144">
        <f>D5-L5</f>
        <v>113</v>
      </c>
      <c r="N5" s="147"/>
    </row>
    <row r="6" spans="2:19" ht="27" customHeight="1">
      <c r="B6" s="148" t="s">
        <v>49</v>
      </c>
      <c r="C6" s="143" t="s">
        <v>235</v>
      </c>
      <c r="D6" s="153">
        <v>3600</v>
      </c>
      <c r="E6" s="151" t="s">
        <v>89</v>
      </c>
      <c r="F6" s="275" t="s">
        <v>50</v>
      </c>
      <c r="G6" s="146" t="s">
        <v>315</v>
      </c>
      <c r="H6" s="146" t="s">
        <v>315</v>
      </c>
      <c r="I6" s="143" t="str">
        <f t="shared" ref="I6:I19" si="0">C6</f>
        <v>18/5/2024</v>
      </c>
      <c r="J6" s="143" t="str">
        <f t="shared" ref="J6:J19" si="1">C6</f>
        <v>18/5/2024</v>
      </c>
      <c r="K6" s="146" t="s">
        <v>314</v>
      </c>
      <c r="L6" s="144">
        <v>3600</v>
      </c>
      <c r="M6" s="144">
        <f t="shared" ref="M6:M13" si="2">D6-L6</f>
        <v>0</v>
      </c>
      <c r="N6" s="149"/>
      <c r="P6" s="136">
        <f>D5+D8+D12+D15</f>
        <v>449</v>
      </c>
    </row>
    <row r="7" spans="2:19" ht="27" customHeight="1">
      <c r="B7" s="148" t="s">
        <v>49</v>
      </c>
      <c r="C7" s="143" t="s">
        <v>266</v>
      </c>
      <c r="D7" s="153">
        <v>1040</v>
      </c>
      <c r="E7" s="151" t="s">
        <v>117</v>
      </c>
      <c r="F7" s="275" t="s">
        <v>50</v>
      </c>
      <c r="G7" s="146" t="s">
        <v>315</v>
      </c>
      <c r="H7" s="146" t="s">
        <v>315</v>
      </c>
      <c r="I7" s="143" t="str">
        <f t="shared" si="0"/>
        <v>29/07/2024</v>
      </c>
      <c r="J7" s="143" t="str">
        <f t="shared" si="1"/>
        <v>29/07/2024</v>
      </c>
      <c r="K7" s="146" t="s">
        <v>314</v>
      </c>
      <c r="L7" s="144">
        <v>1040</v>
      </c>
      <c r="M7" s="144">
        <f t="shared" si="2"/>
        <v>0</v>
      </c>
      <c r="N7" s="149"/>
    </row>
    <row r="8" spans="2:19" ht="27" customHeight="1">
      <c r="B8" s="142" t="s">
        <v>316</v>
      </c>
      <c r="C8" s="143">
        <v>45390</v>
      </c>
      <c r="D8" s="153">
        <v>22</v>
      </c>
      <c r="E8" s="150" t="s">
        <v>121</v>
      </c>
      <c r="F8" s="275" t="s">
        <v>50</v>
      </c>
      <c r="G8" s="146" t="s">
        <v>315</v>
      </c>
      <c r="H8" s="146" t="s">
        <v>315</v>
      </c>
      <c r="I8" s="143">
        <f t="shared" si="0"/>
        <v>45390</v>
      </c>
      <c r="J8" s="143">
        <f t="shared" si="1"/>
        <v>45390</v>
      </c>
      <c r="K8" s="146" t="s">
        <v>314</v>
      </c>
      <c r="L8" s="144">
        <v>0</v>
      </c>
      <c r="M8" s="144">
        <f t="shared" si="2"/>
        <v>22</v>
      </c>
      <c r="N8" s="149"/>
    </row>
    <row r="9" spans="2:19" ht="27" customHeight="1">
      <c r="B9" s="148" t="s">
        <v>49</v>
      </c>
      <c r="C9" s="143" t="s">
        <v>202</v>
      </c>
      <c r="D9" s="153">
        <v>1000</v>
      </c>
      <c r="E9" s="151" t="s">
        <v>81</v>
      </c>
      <c r="F9" s="275" t="s">
        <v>50</v>
      </c>
      <c r="G9" s="146" t="s">
        <v>315</v>
      </c>
      <c r="H9" s="146" t="s">
        <v>315</v>
      </c>
      <c r="I9" s="143" t="str">
        <f t="shared" si="0"/>
        <v>16/08/2024</v>
      </c>
      <c r="J9" s="143" t="str">
        <f t="shared" si="1"/>
        <v>16/08/2024</v>
      </c>
      <c r="K9" s="146" t="s">
        <v>314</v>
      </c>
      <c r="L9" s="144">
        <v>1000</v>
      </c>
      <c r="M9" s="144">
        <f t="shared" si="2"/>
        <v>0</v>
      </c>
      <c r="N9" s="149"/>
      <c r="Q9" s="136">
        <f>D8+D9+D13+D14+D17+D18</f>
        <v>18722</v>
      </c>
      <c r="S9">
        <v>11786</v>
      </c>
    </row>
    <row r="10" spans="2:19" ht="27" customHeight="1">
      <c r="B10" s="148" t="s">
        <v>49</v>
      </c>
      <c r="C10" s="143" t="s">
        <v>204</v>
      </c>
      <c r="D10" s="153">
        <v>1400</v>
      </c>
      <c r="E10" s="152" t="s">
        <v>106</v>
      </c>
      <c r="F10" s="275" t="s">
        <v>50</v>
      </c>
      <c r="G10" s="146" t="s">
        <v>315</v>
      </c>
      <c r="H10" s="146" t="s">
        <v>315</v>
      </c>
      <c r="I10" s="143" t="str">
        <f t="shared" si="0"/>
        <v>13/09/2024</v>
      </c>
      <c r="J10" s="143" t="str">
        <f t="shared" si="1"/>
        <v>13/09/2024</v>
      </c>
      <c r="K10" s="146" t="s">
        <v>314</v>
      </c>
      <c r="L10" s="144">
        <v>1400</v>
      </c>
      <c r="M10" s="144">
        <f t="shared" si="2"/>
        <v>0</v>
      </c>
      <c r="N10" s="149"/>
      <c r="Q10">
        <v>5786</v>
      </c>
      <c r="S10">
        <v>6000</v>
      </c>
    </row>
    <row r="11" spans="2:19" ht="27" customHeight="1">
      <c r="B11" s="148" t="s">
        <v>49</v>
      </c>
      <c r="C11" s="143" t="s">
        <v>205</v>
      </c>
      <c r="D11" s="153">
        <v>29225</v>
      </c>
      <c r="E11" s="152" t="s">
        <v>237</v>
      </c>
      <c r="F11" s="275" t="s">
        <v>50</v>
      </c>
      <c r="G11" s="146" t="s">
        <v>315</v>
      </c>
      <c r="H11" s="146" t="s">
        <v>315</v>
      </c>
      <c r="I11" s="143" t="str">
        <f t="shared" ref="I11" si="3">C11</f>
        <v>22/10/2024</v>
      </c>
      <c r="J11" s="143" t="str">
        <f t="shared" ref="J11" si="4">C11</f>
        <v>22/10/2024</v>
      </c>
      <c r="K11" s="146" t="s">
        <v>314</v>
      </c>
      <c r="L11" s="144">
        <v>29225</v>
      </c>
      <c r="M11" s="144">
        <f t="shared" ref="M11" si="5">D11-L11</f>
        <v>0</v>
      </c>
      <c r="N11" s="149"/>
    </row>
    <row r="12" spans="2:19" ht="27" customHeight="1">
      <c r="B12" s="142" t="s">
        <v>316</v>
      </c>
      <c r="C12" s="143">
        <v>45362</v>
      </c>
      <c r="D12" s="153">
        <v>46</v>
      </c>
      <c r="E12" s="150" t="s">
        <v>121</v>
      </c>
      <c r="F12" s="275" t="s">
        <v>86</v>
      </c>
      <c r="G12" s="146" t="s">
        <v>315</v>
      </c>
      <c r="H12" s="146" t="s">
        <v>315</v>
      </c>
      <c r="I12" s="143">
        <f t="shared" si="0"/>
        <v>45362</v>
      </c>
      <c r="J12" s="143">
        <f t="shared" si="1"/>
        <v>45362</v>
      </c>
      <c r="K12" s="146" t="s">
        <v>314</v>
      </c>
      <c r="L12" s="144">
        <v>0</v>
      </c>
      <c r="M12" s="144">
        <f t="shared" si="2"/>
        <v>46</v>
      </c>
      <c r="N12" s="149"/>
      <c r="Q12" s="136">
        <f>Q9-Q10</f>
        <v>12936</v>
      </c>
      <c r="S12">
        <f>S9-S10</f>
        <v>5786</v>
      </c>
    </row>
    <row r="13" spans="2:19" ht="27" customHeight="1">
      <c r="B13" s="148" t="s">
        <v>49</v>
      </c>
      <c r="C13" s="143" t="s">
        <v>206</v>
      </c>
      <c r="D13" s="153">
        <v>5400</v>
      </c>
      <c r="E13" s="151" t="s">
        <v>89</v>
      </c>
      <c r="F13" s="275" t="s">
        <v>50</v>
      </c>
      <c r="G13" s="146" t="s">
        <v>315</v>
      </c>
      <c r="H13" s="146" t="s">
        <v>315</v>
      </c>
      <c r="I13" s="143" t="str">
        <f t="shared" si="0"/>
        <v>16/11/2024</v>
      </c>
      <c r="J13" s="143" t="str">
        <f t="shared" si="1"/>
        <v>16/11/2024</v>
      </c>
      <c r="K13" s="146" t="s">
        <v>314</v>
      </c>
      <c r="L13" s="144">
        <v>5400</v>
      </c>
      <c r="M13" s="144">
        <f t="shared" si="2"/>
        <v>0</v>
      </c>
      <c r="N13" s="149"/>
    </row>
    <row r="14" spans="2:19" ht="27" customHeight="1">
      <c r="B14" s="148" t="s">
        <v>49</v>
      </c>
      <c r="C14" s="143" t="s">
        <v>216</v>
      </c>
      <c r="D14" s="153">
        <v>10000</v>
      </c>
      <c r="E14" s="150" t="s">
        <v>236</v>
      </c>
      <c r="F14" s="275" t="s">
        <v>48</v>
      </c>
      <c r="G14" s="146" t="s">
        <v>315</v>
      </c>
      <c r="H14" s="146" t="s">
        <v>315</v>
      </c>
      <c r="I14" s="143" t="str">
        <f t="shared" si="0"/>
        <v>24/12/2024</v>
      </c>
      <c r="J14" s="143" t="str">
        <f t="shared" si="1"/>
        <v>24/12/2024</v>
      </c>
      <c r="K14" s="146" t="s">
        <v>314</v>
      </c>
      <c r="L14" s="144">
        <v>10000</v>
      </c>
      <c r="M14" s="276">
        <f>D14-L14</f>
        <v>0</v>
      </c>
      <c r="N14" s="149"/>
    </row>
    <row r="15" spans="2:19" ht="27" customHeight="1">
      <c r="B15" s="142" t="s">
        <v>316</v>
      </c>
      <c r="C15" s="143">
        <v>45690</v>
      </c>
      <c r="D15" s="153">
        <v>268</v>
      </c>
      <c r="E15" s="150" t="s">
        <v>121</v>
      </c>
      <c r="F15" s="275" t="s">
        <v>50</v>
      </c>
      <c r="G15" s="146" t="s">
        <v>315</v>
      </c>
      <c r="H15" s="146" t="s">
        <v>315</v>
      </c>
      <c r="I15" s="143">
        <f t="shared" si="0"/>
        <v>45690</v>
      </c>
      <c r="J15" s="143">
        <f t="shared" si="1"/>
        <v>45690</v>
      </c>
      <c r="K15" s="146" t="s">
        <v>314</v>
      </c>
      <c r="L15" s="144">
        <v>0</v>
      </c>
      <c r="M15" s="144">
        <f t="shared" ref="M15:M19" si="6">D15-L15</f>
        <v>268</v>
      </c>
      <c r="N15" s="149"/>
    </row>
    <row r="16" spans="2:19" ht="27" customHeight="1">
      <c r="B16" s="148" t="s">
        <v>49</v>
      </c>
      <c r="C16" s="143" t="s">
        <v>219</v>
      </c>
      <c r="D16" s="153">
        <v>500</v>
      </c>
      <c r="E16" s="150" t="s">
        <v>95</v>
      </c>
      <c r="F16" s="275" t="s">
        <v>50</v>
      </c>
      <c r="G16" s="146" t="s">
        <v>315</v>
      </c>
      <c r="H16" s="146" t="s">
        <v>315</v>
      </c>
      <c r="I16" s="143" t="str">
        <f t="shared" si="0"/>
        <v>26/03/2025</v>
      </c>
      <c r="J16" s="143" t="str">
        <f t="shared" si="1"/>
        <v>26/03/2025</v>
      </c>
      <c r="K16" s="146" t="s">
        <v>314</v>
      </c>
      <c r="L16" s="144">
        <v>500</v>
      </c>
      <c r="M16" s="276">
        <f t="shared" si="6"/>
        <v>0</v>
      </c>
      <c r="N16" s="149"/>
    </row>
    <row r="17" spans="2:19" ht="27" customHeight="1">
      <c r="B17" s="148" t="s">
        <v>49</v>
      </c>
      <c r="C17" s="143" t="s">
        <v>219</v>
      </c>
      <c r="D17" s="153">
        <v>500</v>
      </c>
      <c r="E17" s="151" t="s">
        <v>88</v>
      </c>
      <c r="F17" s="275" t="s">
        <v>50</v>
      </c>
      <c r="G17" s="146" t="s">
        <v>315</v>
      </c>
      <c r="H17" s="146" t="s">
        <v>315</v>
      </c>
      <c r="I17" s="143" t="str">
        <f t="shared" si="0"/>
        <v>26/03/2025</v>
      </c>
      <c r="J17" s="143" t="str">
        <f t="shared" si="1"/>
        <v>26/03/2025</v>
      </c>
      <c r="K17" s="146" t="s">
        <v>314</v>
      </c>
      <c r="L17" s="144">
        <v>500</v>
      </c>
      <c r="M17" s="144">
        <f t="shared" si="6"/>
        <v>0</v>
      </c>
      <c r="N17" s="149"/>
    </row>
    <row r="18" spans="2:19" ht="27" customHeight="1">
      <c r="B18" s="148" t="s">
        <v>49</v>
      </c>
      <c r="C18" s="143" t="s">
        <v>222</v>
      </c>
      <c r="D18" s="153">
        <v>1800</v>
      </c>
      <c r="E18" s="151" t="s">
        <v>89</v>
      </c>
      <c r="F18" s="275" t="s">
        <v>50</v>
      </c>
      <c r="G18" s="146" t="s">
        <v>315</v>
      </c>
      <c r="H18" s="146" t="s">
        <v>315</v>
      </c>
      <c r="I18" s="143" t="str">
        <f t="shared" si="0"/>
        <v>30/03/2025</v>
      </c>
      <c r="J18" s="143" t="str">
        <f t="shared" si="1"/>
        <v>30/03/2025</v>
      </c>
      <c r="K18" s="146" t="s">
        <v>314</v>
      </c>
      <c r="L18" s="144">
        <v>0</v>
      </c>
      <c r="M18" s="276">
        <f t="shared" si="6"/>
        <v>1800</v>
      </c>
      <c r="N18" s="149"/>
    </row>
    <row r="19" spans="2:19" ht="27" customHeight="1">
      <c r="B19" s="148" t="s">
        <v>49</v>
      </c>
      <c r="C19" s="143" t="s">
        <v>222</v>
      </c>
      <c r="D19" s="153">
        <v>14400</v>
      </c>
      <c r="E19" s="151" t="s">
        <v>89</v>
      </c>
      <c r="F19" s="275" t="s">
        <v>50</v>
      </c>
      <c r="G19" s="146" t="s">
        <v>315</v>
      </c>
      <c r="H19" s="146" t="s">
        <v>315</v>
      </c>
      <c r="I19" s="143" t="str">
        <f t="shared" si="0"/>
        <v>30/03/2025</v>
      </c>
      <c r="J19" s="143" t="str">
        <f t="shared" si="1"/>
        <v>30/03/2025</v>
      </c>
      <c r="K19" s="146" t="s">
        <v>314</v>
      </c>
      <c r="L19" s="144">
        <v>0</v>
      </c>
      <c r="M19" s="277">
        <f t="shared" si="6"/>
        <v>14400</v>
      </c>
      <c r="N19" s="149"/>
    </row>
    <row r="20" spans="2:19" ht="33.75" customHeight="1"/>
    <row r="21" spans="2:19" ht="21" customHeight="1">
      <c r="B21" s="351" t="s">
        <v>47</v>
      </c>
      <c r="C21" s="352"/>
      <c r="D21" s="352"/>
      <c r="E21" s="352"/>
      <c r="F21" s="349" t="s">
        <v>73</v>
      </c>
      <c r="G21" s="349" t="s">
        <v>74</v>
      </c>
      <c r="H21" s="351" t="s">
        <v>46</v>
      </c>
      <c r="I21" s="351"/>
      <c r="J21" s="351"/>
      <c r="K21" s="349" t="s">
        <v>75</v>
      </c>
      <c r="L21" s="349" t="s">
        <v>76</v>
      </c>
      <c r="M21" s="349" t="s">
        <v>77</v>
      </c>
      <c r="N21" s="350" t="s">
        <v>44</v>
      </c>
    </row>
    <row r="22" spans="2:19" ht="48" customHeight="1">
      <c r="B22" s="140" t="s">
        <v>41</v>
      </c>
      <c r="C22" s="140" t="s">
        <v>42</v>
      </c>
      <c r="D22" s="140" t="s">
        <v>45</v>
      </c>
      <c r="E22" s="140" t="s">
        <v>78</v>
      </c>
      <c r="F22" s="349"/>
      <c r="G22" s="349"/>
      <c r="H22" s="141" t="s">
        <v>43</v>
      </c>
      <c r="I22" s="140" t="s">
        <v>79</v>
      </c>
      <c r="J22" s="140" t="s">
        <v>80</v>
      </c>
      <c r="K22" s="349"/>
      <c r="L22" s="349"/>
      <c r="M22" s="349"/>
      <c r="N22" s="350"/>
      <c r="O22" s="5"/>
      <c r="P22" s="5"/>
      <c r="Q22" s="5"/>
      <c r="R22" s="5"/>
    </row>
    <row r="23" spans="2:19" ht="32.450000000000003" customHeight="1">
      <c r="B23" s="142" t="s">
        <v>118</v>
      </c>
      <c r="C23" s="143">
        <v>45414</v>
      </c>
      <c r="D23" s="153">
        <v>59</v>
      </c>
      <c r="E23" s="150" t="s">
        <v>121</v>
      </c>
      <c r="F23" s="145" t="s">
        <v>50</v>
      </c>
      <c r="G23" s="146" t="s">
        <v>111</v>
      </c>
      <c r="H23" s="146" t="s">
        <v>111</v>
      </c>
      <c r="I23" s="143">
        <f t="shared" ref="I23" si="7">C23</f>
        <v>45414</v>
      </c>
      <c r="J23" s="143">
        <f t="shared" ref="J23" si="8">C23</f>
        <v>45414</v>
      </c>
      <c r="K23" s="146" t="s">
        <v>172</v>
      </c>
      <c r="L23" s="144">
        <v>0</v>
      </c>
      <c r="M23" s="154">
        <f t="shared" ref="M23" si="9">D23-L23</f>
        <v>59</v>
      </c>
      <c r="N23" s="147"/>
    </row>
    <row r="24" spans="2:19" ht="32.450000000000003" customHeight="1">
      <c r="B24" s="148" t="s">
        <v>49</v>
      </c>
      <c r="C24" s="143" t="s">
        <v>116</v>
      </c>
      <c r="D24" s="153">
        <v>323</v>
      </c>
      <c r="E24" s="151" t="s">
        <v>117</v>
      </c>
      <c r="F24" s="145" t="s">
        <v>50</v>
      </c>
      <c r="G24" s="146" t="s">
        <v>111</v>
      </c>
      <c r="H24" s="146" t="s">
        <v>111</v>
      </c>
      <c r="I24" s="143" t="str">
        <f t="shared" ref="I24:I25" si="10">C24</f>
        <v>21/03/2024</v>
      </c>
      <c r="J24" s="143" t="str">
        <f t="shared" ref="J24:J25" si="11">C24</f>
        <v>21/03/2024</v>
      </c>
      <c r="K24" s="146" t="s">
        <v>172</v>
      </c>
      <c r="L24" s="144">
        <v>323</v>
      </c>
      <c r="M24" s="153">
        <f t="shared" ref="M24:M25" si="12">D24-L24</f>
        <v>0</v>
      </c>
      <c r="N24" s="149"/>
    </row>
    <row r="25" spans="2:19" ht="32.450000000000003" customHeight="1">
      <c r="B25" s="148" t="s">
        <v>49</v>
      </c>
      <c r="C25" s="143" t="s">
        <v>119</v>
      </c>
      <c r="D25" s="153">
        <v>7000</v>
      </c>
      <c r="E25" s="151" t="s">
        <v>89</v>
      </c>
      <c r="F25" s="145" t="s">
        <v>50</v>
      </c>
      <c r="G25" s="146" t="s">
        <v>111</v>
      </c>
      <c r="H25" s="146" t="s">
        <v>111</v>
      </c>
      <c r="I25" s="143" t="str">
        <f t="shared" si="10"/>
        <v>28/03/2024</v>
      </c>
      <c r="J25" s="143" t="str">
        <f t="shared" si="11"/>
        <v>28/03/2024</v>
      </c>
      <c r="K25" s="146" t="s">
        <v>172</v>
      </c>
      <c r="L25" s="144">
        <v>7000</v>
      </c>
      <c r="M25" s="153">
        <f t="shared" si="12"/>
        <v>0</v>
      </c>
      <c r="N25" s="149"/>
    </row>
    <row r="26" spans="2:19" ht="32.450000000000003" customHeight="1">
      <c r="B26" s="148"/>
      <c r="C26" s="143"/>
      <c r="D26" s="153"/>
      <c r="E26" s="151" t="s">
        <v>95</v>
      </c>
      <c r="F26" s="145"/>
      <c r="G26" s="146"/>
      <c r="H26" s="146"/>
      <c r="I26" s="143"/>
      <c r="J26" s="143"/>
      <c r="K26" s="146"/>
      <c r="L26" s="144"/>
      <c r="M26" s="153"/>
      <c r="N26" s="149"/>
    </row>
    <row r="27" spans="2:19" ht="32.450000000000003" customHeight="1">
      <c r="B27" s="148"/>
      <c r="C27" s="143"/>
      <c r="D27" s="153"/>
      <c r="E27" s="151" t="s">
        <v>88</v>
      </c>
      <c r="F27" s="145"/>
      <c r="G27" s="146"/>
      <c r="H27" s="146"/>
      <c r="I27" s="143"/>
      <c r="J27" s="143"/>
      <c r="K27" s="146"/>
      <c r="L27" s="144"/>
      <c r="M27" s="153"/>
      <c r="N27" s="149"/>
      <c r="Q27" s="136">
        <f>D26+D27+D30+D31+D34+D35</f>
        <v>0</v>
      </c>
      <c r="S27">
        <v>11786</v>
      </c>
    </row>
    <row r="28" spans="2:19" ht="32.450000000000003" customHeight="1">
      <c r="B28" s="148"/>
      <c r="C28" s="143"/>
      <c r="D28" s="153"/>
      <c r="E28" s="151"/>
      <c r="F28" s="145"/>
      <c r="G28" s="146"/>
      <c r="H28" s="146"/>
      <c r="I28" s="143"/>
      <c r="J28" s="143"/>
      <c r="K28" s="146"/>
      <c r="L28" s="144"/>
      <c r="M28" s="153"/>
      <c r="N28" s="149"/>
      <c r="Q28">
        <v>5786</v>
      </c>
      <c r="S28">
        <v>6000</v>
      </c>
    </row>
    <row r="29" spans="2:19" ht="32.450000000000003" customHeight="1">
      <c r="B29" s="142"/>
      <c r="C29" s="143"/>
      <c r="D29" s="153"/>
      <c r="E29" s="150"/>
      <c r="F29" s="145"/>
      <c r="G29" s="146"/>
      <c r="H29" s="146"/>
      <c r="I29" s="143"/>
      <c r="J29" s="143"/>
      <c r="K29" s="146"/>
      <c r="L29" s="144"/>
      <c r="M29" s="153"/>
      <c r="N29" s="149"/>
      <c r="Q29" s="136">
        <f>Q27-Q28</f>
        <v>-5786</v>
      </c>
      <c r="S29">
        <f>S27-S28</f>
        <v>5786</v>
      </c>
    </row>
    <row r="30" spans="2:19" ht="32.450000000000003" customHeight="1">
      <c r="B30" s="148"/>
      <c r="C30" s="143"/>
      <c r="D30" s="153"/>
      <c r="E30" s="151"/>
      <c r="F30" s="145"/>
      <c r="G30" s="146"/>
      <c r="H30" s="146"/>
      <c r="I30" s="143"/>
      <c r="J30" s="143"/>
      <c r="K30" s="146"/>
      <c r="L30" s="144"/>
      <c r="M30" s="153"/>
      <c r="N30" s="149"/>
    </row>
    <row r="31" spans="2:19" ht="32.450000000000003" customHeight="1">
      <c r="B31" s="148"/>
      <c r="C31" s="143"/>
      <c r="D31" s="153"/>
      <c r="E31" s="152"/>
      <c r="F31" s="145"/>
      <c r="G31" s="146"/>
      <c r="H31" s="146"/>
      <c r="I31" s="143"/>
      <c r="J31" s="143"/>
      <c r="K31" s="146"/>
      <c r="L31" s="144"/>
      <c r="M31" s="153"/>
      <c r="N31" s="149"/>
    </row>
    <row r="32" spans="2:19" ht="32.450000000000003" customHeight="1">
      <c r="B32" s="142"/>
      <c r="C32" s="143"/>
      <c r="D32" s="153"/>
      <c r="E32" s="150"/>
      <c r="F32" s="145"/>
      <c r="G32" s="146"/>
      <c r="H32" s="146"/>
      <c r="I32" s="143"/>
      <c r="J32" s="143"/>
      <c r="K32" s="146"/>
      <c r="L32" s="144"/>
      <c r="M32" s="153"/>
      <c r="N32" s="149"/>
    </row>
    <row r="33" spans="2:14" ht="32.450000000000003" customHeight="1">
      <c r="B33" s="148"/>
      <c r="C33" s="143"/>
      <c r="D33" s="153"/>
      <c r="E33" s="152"/>
      <c r="F33" s="145"/>
      <c r="G33" s="146"/>
      <c r="H33" s="146"/>
      <c r="I33" s="143"/>
      <c r="J33" s="143"/>
      <c r="K33" s="146"/>
      <c r="L33" s="144"/>
      <c r="M33" s="153"/>
      <c r="N33" s="149"/>
    </row>
    <row r="34" spans="2:14" ht="32.450000000000003" customHeight="1">
      <c r="B34" s="148"/>
      <c r="C34" s="143"/>
      <c r="D34" s="153"/>
      <c r="E34" s="151"/>
      <c r="F34" s="145"/>
      <c r="G34" s="146"/>
      <c r="H34" s="146"/>
      <c r="I34" s="143"/>
      <c r="J34" s="143"/>
      <c r="K34" s="146"/>
      <c r="L34" s="144"/>
      <c r="M34" s="154"/>
      <c r="N34" s="149"/>
    </row>
    <row r="35" spans="2:14" ht="32.450000000000003" customHeight="1">
      <c r="B35" s="142"/>
      <c r="C35" s="143"/>
      <c r="D35" s="153"/>
      <c r="E35" s="150"/>
      <c r="F35" s="145"/>
      <c r="G35" s="146"/>
      <c r="H35" s="146"/>
      <c r="I35" s="143"/>
      <c r="J35" s="143"/>
      <c r="K35" s="146"/>
      <c r="L35" s="144"/>
      <c r="M35" s="154"/>
      <c r="N35" s="149"/>
    </row>
    <row r="36" spans="2:14" ht="32.450000000000003" customHeight="1">
      <c r="B36" s="148"/>
      <c r="C36" s="143"/>
      <c r="D36" s="153"/>
      <c r="E36" s="151"/>
      <c r="F36" s="145"/>
      <c r="G36" s="146"/>
      <c r="H36" s="146"/>
      <c r="I36" s="143"/>
      <c r="J36" s="143"/>
      <c r="K36" s="146"/>
      <c r="L36" s="144"/>
      <c r="M36" s="153"/>
      <c r="N36" s="149"/>
    </row>
    <row r="37" spans="2:14" ht="32.450000000000003" customHeight="1">
      <c r="B37" s="148"/>
      <c r="C37" s="143"/>
      <c r="D37" s="153"/>
      <c r="E37" s="151"/>
      <c r="F37" s="145"/>
      <c r="G37" s="146"/>
      <c r="H37" s="146"/>
      <c r="I37" s="143"/>
      <c r="J37" s="143"/>
      <c r="K37" s="146"/>
      <c r="L37" s="144"/>
      <c r="M37" s="153"/>
      <c r="N37" s="149"/>
    </row>
  </sheetData>
  <mergeCells count="16">
    <mergeCell ref="M3:M4"/>
    <mergeCell ref="N3:N4"/>
    <mergeCell ref="B3:E3"/>
    <mergeCell ref="H3:J3"/>
    <mergeCell ref="F3:F4"/>
    <mergeCell ref="G3:G4"/>
    <mergeCell ref="K3:K4"/>
    <mergeCell ref="L3:L4"/>
    <mergeCell ref="L21:L22"/>
    <mergeCell ref="M21:M22"/>
    <mergeCell ref="N21:N22"/>
    <mergeCell ref="B21:E21"/>
    <mergeCell ref="F21:F22"/>
    <mergeCell ref="G21:G22"/>
    <mergeCell ref="H21:J21"/>
    <mergeCell ref="K21:K22"/>
  </mergeCells>
  <pageMargins left="0" right="0" top="0" bottom="0.75" header="0" footer="0"/>
  <pageSetup paperSize="5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J15"/>
  <sheetViews>
    <sheetView topLeftCell="A4" zoomScale="130" zoomScaleNormal="130" workbookViewId="0">
      <selection activeCell="D13" sqref="D13"/>
    </sheetView>
  </sheetViews>
  <sheetFormatPr defaultRowHeight="15"/>
  <cols>
    <col min="2" max="2" width="14.5703125" customWidth="1"/>
    <col min="3" max="3" width="9.85546875" customWidth="1"/>
    <col min="4" max="4" width="11.42578125" customWidth="1"/>
    <col min="5" max="5" width="30.28515625" customWidth="1"/>
    <col min="6" max="6" width="11.28515625" customWidth="1"/>
    <col min="7" max="7" width="44" customWidth="1"/>
    <col min="8" max="8" width="14.42578125" customWidth="1"/>
    <col min="9" max="9" width="15" customWidth="1"/>
    <col min="10" max="10" width="9.140625" customWidth="1"/>
  </cols>
  <sheetData>
    <row r="2" spans="1:10" ht="87" customHeight="1"/>
    <row r="3" spans="1:10" ht="11.25" customHeight="1" thickBot="1"/>
    <row r="4" spans="1:10" ht="76.5" thickTop="1" thickBot="1">
      <c r="A4" s="111" t="s">
        <v>3</v>
      </c>
      <c r="B4" s="112" t="s">
        <v>51</v>
      </c>
      <c r="C4" s="112" t="s">
        <v>107</v>
      </c>
      <c r="D4" s="111" t="s">
        <v>45</v>
      </c>
      <c r="E4" s="112" t="s">
        <v>67</v>
      </c>
      <c r="F4" s="111" t="s">
        <v>52</v>
      </c>
      <c r="G4" s="111" t="s">
        <v>56</v>
      </c>
      <c r="H4" s="112" t="s">
        <v>55</v>
      </c>
      <c r="I4" s="112" t="s">
        <v>53</v>
      </c>
      <c r="J4" s="111" t="s">
        <v>54</v>
      </c>
    </row>
    <row r="5" spans="1:10" ht="39.950000000000003" customHeight="1" thickTop="1" thickBot="1">
      <c r="A5" s="113">
        <v>1</v>
      </c>
      <c r="B5" s="24" t="s">
        <v>317</v>
      </c>
      <c r="C5" s="24" t="s">
        <v>238</v>
      </c>
      <c r="D5" s="155">
        <v>3600</v>
      </c>
      <c r="E5" s="156" t="s">
        <v>239</v>
      </c>
      <c r="F5" s="155">
        <f>D5</f>
        <v>3600</v>
      </c>
      <c r="G5" s="157" t="s">
        <v>122</v>
      </c>
      <c r="H5" s="22"/>
      <c r="I5" s="123">
        <v>45358</v>
      </c>
      <c r="J5" s="22"/>
    </row>
    <row r="6" spans="1:10" ht="53.25" customHeight="1" thickTop="1" thickBot="1">
      <c r="A6" s="113">
        <v>2</v>
      </c>
      <c r="B6" s="24" t="s">
        <v>318</v>
      </c>
      <c r="C6" s="24" t="s">
        <v>319</v>
      </c>
      <c r="D6" s="155">
        <v>3940</v>
      </c>
      <c r="E6" s="156" t="s">
        <v>239</v>
      </c>
      <c r="F6" s="155">
        <f t="shared" ref="F6:F11" si="0">D6</f>
        <v>3940</v>
      </c>
      <c r="G6" s="157" t="s">
        <v>320</v>
      </c>
      <c r="H6" s="22"/>
      <c r="I6" s="123" t="s">
        <v>268</v>
      </c>
      <c r="J6" s="21"/>
    </row>
    <row r="7" spans="1:10" ht="39.950000000000003" customHeight="1" thickTop="1" thickBot="1">
      <c r="A7" s="113">
        <v>3</v>
      </c>
      <c r="B7" s="24" t="s">
        <v>322</v>
      </c>
      <c r="C7" s="24" t="s">
        <v>325</v>
      </c>
      <c r="D7" s="155">
        <v>5400</v>
      </c>
      <c r="E7" s="156" t="s">
        <v>239</v>
      </c>
      <c r="F7" s="155">
        <f>D7</f>
        <v>5400</v>
      </c>
      <c r="G7" s="157" t="s">
        <v>122</v>
      </c>
      <c r="H7" s="20"/>
      <c r="I7" s="123">
        <v>45931</v>
      </c>
      <c r="J7" s="22"/>
    </row>
    <row r="8" spans="1:10" ht="39.950000000000003" customHeight="1" thickTop="1" thickBot="1">
      <c r="A8" s="113">
        <v>4</v>
      </c>
      <c r="B8" s="24" t="s">
        <v>323</v>
      </c>
      <c r="C8" s="24">
        <v>4</v>
      </c>
      <c r="D8" s="222">
        <v>10000</v>
      </c>
      <c r="E8" s="156" t="s">
        <v>324</v>
      </c>
      <c r="F8" s="222">
        <f t="shared" si="0"/>
        <v>10000</v>
      </c>
      <c r="G8" s="157" t="s">
        <v>327</v>
      </c>
      <c r="H8" s="22"/>
      <c r="I8" s="123" t="s">
        <v>287</v>
      </c>
      <c r="J8" s="22"/>
    </row>
    <row r="9" spans="1:10" ht="39.950000000000003" customHeight="1" thickTop="1" thickBot="1">
      <c r="A9" s="113">
        <v>5</v>
      </c>
      <c r="B9" s="24" t="s">
        <v>332</v>
      </c>
      <c r="C9" s="24">
        <v>5</v>
      </c>
      <c r="D9" s="155">
        <v>7800</v>
      </c>
      <c r="E9" s="156" t="s">
        <v>326</v>
      </c>
      <c r="F9" s="155">
        <f t="shared" si="0"/>
        <v>7800</v>
      </c>
      <c r="G9" s="157" t="s">
        <v>328</v>
      </c>
      <c r="H9" s="22"/>
      <c r="I9" s="123" t="s">
        <v>293</v>
      </c>
      <c r="J9" s="22"/>
    </row>
    <row r="10" spans="1:10" ht="39.950000000000003" customHeight="1" thickTop="1" thickBot="1">
      <c r="A10" s="113">
        <v>6</v>
      </c>
      <c r="B10" s="24" t="s">
        <v>331</v>
      </c>
      <c r="C10" s="24">
        <v>6</v>
      </c>
      <c r="D10" s="222">
        <v>15425</v>
      </c>
      <c r="E10" s="156" t="s">
        <v>330</v>
      </c>
      <c r="F10" s="222">
        <f t="shared" si="0"/>
        <v>15425</v>
      </c>
      <c r="G10" s="156" t="s">
        <v>329</v>
      </c>
      <c r="H10" s="22"/>
      <c r="I10" s="123" t="s">
        <v>219</v>
      </c>
      <c r="J10" s="22"/>
    </row>
    <row r="11" spans="1:10" ht="39.950000000000003" customHeight="1" thickTop="1" thickBot="1">
      <c r="A11" s="113">
        <v>7</v>
      </c>
      <c r="B11" s="24" t="s">
        <v>333</v>
      </c>
      <c r="C11" s="24">
        <v>7</v>
      </c>
      <c r="D11" s="222">
        <v>1500</v>
      </c>
      <c r="E11" s="156" t="s">
        <v>239</v>
      </c>
      <c r="F11" s="222">
        <f t="shared" si="0"/>
        <v>1500</v>
      </c>
      <c r="G11" s="157" t="s">
        <v>334</v>
      </c>
      <c r="H11" s="20"/>
      <c r="I11" s="123" t="s">
        <v>221</v>
      </c>
      <c r="J11" s="22"/>
    </row>
    <row r="12" spans="1:10" ht="39.950000000000003" customHeight="1" thickTop="1" thickBot="1">
      <c r="A12" s="113">
        <v>8</v>
      </c>
      <c r="B12" s="24" t="s">
        <v>335</v>
      </c>
      <c r="C12" s="24">
        <v>8</v>
      </c>
      <c r="D12" s="222">
        <v>6000</v>
      </c>
      <c r="E12" s="156" t="s">
        <v>336</v>
      </c>
      <c r="F12" s="155">
        <f t="shared" ref="F12" si="1">D12</f>
        <v>6000</v>
      </c>
      <c r="G12" s="157" t="s">
        <v>337</v>
      </c>
      <c r="H12" s="20"/>
      <c r="I12" s="123" t="s">
        <v>221</v>
      </c>
      <c r="J12" s="22"/>
    </row>
    <row r="13" spans="1:10" ht="38.25" customHeight="1" thickTop="1" thickBot="1">
      <c r="A13" s="113"/>
      <c r="B13" s="24"/>
      <c r="C13" s="24"/>
      <c r="D13" s="222"/>
      <c r="E13" s="156"/>
      <c r="F13" s="222"/>
      <c r="G13" s="157"/>
      <c r="H13" s="20"/>
      <c r="I13" s="123"/>
      <c r="J13" s="22"/>
    </row>
    <row r="14" spans="1:10" ht="35.1" customHeight="1" thickTop="1" thickBot="1">
      <c r="A14" s="113"/>
      <c r="B14" s="24"/>
      <c r="C14" s="278"/>
      <c r="D14" s="222"/>
      <c r="E14" s="156"/>
      <c r="F14" s="222"/>
      <c r="G14" s="157"/>
      <c r="H14" s="20"/>
      <c r="I14" s="123"/>
      <c r="J14" s="22"/>
    </row>
    <row r="15" spans="1:10" ht="15.75" thickTop="1"/>
  </sheetData>
  <pageMargins left="0" right="0" top="0" bottom="0" header="0" footer="0"/>
  <pageSetup paperSize="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F17" sqref="F17"/>
    </sheetView>
  </sheetViews>
  <sheetFormatPr defaultRowHeight="15"/>
  <cols>
    <col min="1" max="1" width="0.7109375" style="8" customWidth="1"/>
    <col min="2" max="2" width="4.7109375" style="8" customWidth="1"/>
    <col min="3" max="3" width="8" style="8" customWidth="1"/>
    <col min="4" max="4" width="14.85546875" style="8" customWidth="1"/>
    <col min="5" max="6" width="27.140625" style="8" customWidth="1"/>
    <col min="7" max="7" width="12.5703125" style="8" customWidth="1"/>
    <col min="8" max="8" width="7.5703125" style="8" customWidth="1"/>
    <col min="9" max="9" width="4.42578125" style="8" hidden="1" customWidth="1"/>
    <col min="10" max="10" width="1.140625" style="8" customWidth="1"/>
    <col min="11" max="16384" width="9.140625" style="8"/>
  </cols>
  <sheetData>
    <row r="1" spans="1:10" ht="15.75" thickBot="1">
      <c r="A1" s="296"/>
      <c r="B1" s="296"/>
      <c r="C1" s="296"/>
      <c r="D1" s="296"/>
      <c r="E1" s="296"/>
      <c r="F1" s="296"/>
      <c r="G1" s="296"/>
      <c r="H1" s="296"/>
    </row>
    <row r="2" spans="1:10" ht="29.25" thickBot="1">
      <c r="B2" s="365" t="s">
        <v>131</v>
      </c>
      <c r="C2" s="366"/>
      <c r="D2" s="366"/>
      <c r="E2" s="366"/>
      <c r="F2" s="366"/>
      <c r="G2" s="366"/>
      <c r="H2" s="367"/>
      <c r="I2" s="9"/>
      <c r="J2" s="9"/>
    </row>
    <row r="3" spans="1:10" ht="21">
      <c r="B3" s="10"/>
      <c r="C3" s="10"/>
      <c r="D3" s="10"/>
      <c r="E3" s="10"/>
      <c r="F3" s="10"/>
      <c r="G3" s="10"/>
      <c r="H3" s="10"/>
    </row>
    <row r="4" spans="1:10" ht="21">
      <c r="B4" s="368"/>
      <c r="C4" s="368"/>
      <c r="D4" s="368"/>
      <c r="E4" s="368"/>
      <c r="F4" s="368"/>
      <c r="G4" s="368"/>
      <c r="H4" s="368"/>
    </row>
    <row r="5" spans="1:10" ht="21">
      <c r="B5" s="11"/>
      <c r="C5" s="11"/>
      <c r="D5" s="11"/>
      <c r="E5" s="11"/>
      <c r="F5" s="11"/>
      <c r="G5" s="11"/>
      <c r="H5" s="11"/>
    </row>
    <row r="6" spans="1:10" ht="27">
      <c r="B6" s="11"/>
      <c r="C6" s="11"/>
      <c r="D6" s="11"/>
      <c r="E6" s="11"/>
      <c r="F6" s="11"/>
      <c r="G6" s="369"/>
      <c r="H6" s="369"/>
    </row>
    <row r="8" spans="1:10" ht="15.75" thickBot="1">
      <c r="B8" s="361"/>
      <c r="C8" s="361"/>
      <c r="D8" s="361"/>
      <c r="E8" s="361"/>
      <c r="F8" s="361"/>
      <c r="G8" s="361"/>
      <c r="H8" s="361"/>
    </row>
    <row r="9" spans="1:10" ht="27.75" thickBot="1">
      <c r="B9" s="353" t="s">
        <v>132</v>
      </c>
      <c r="C9" s="354"/>
      <c r="D9" s="354"/>
      <c r="E9" s="169" t="s">
        <v>144</v>
      </c>
      <c r="F9" s="170" t="s">
        <v>133</v>
      </c>
      <c r="G9" s="370"/>
      <c r="H9" s="371"/>
    </row>
    <row r="10" spans="1:10" ht="27.75" thickBot="1">
      <c r="B10" s="353" t="s">
        <v>134</v>
      </c>
      <c r="C10" s="354"/>
      <c r="D10" s="354"/>
      <c r="E10" s="169" t="s">
        <v>145</v>
      </c>
      <c r="F10" s="170" t="s">
        <v>135</v>
      </c>
      <c r="G10" s="355" t="s">
        <v>146</v>
      </c>
      <c r="H10" s="356"/>
    </row>
    <row r="11" spans="1:10" ht="15.75" hidden="1" thickBot="1">
      <c r="F11" s="171"/>
      <c r="G11" s="172"/>
      <c r="H11" s="173"/>
    </row>
    <row r="12" spans="1:10" ht="15.75" thickBot="1">
      <c r="B12" s="357"/>
      <c r="C12" s="358"/>
      <c r="D12" s="358"/>
      <c r="E12" s="359"/>
      <c r="F12" s="171"/>
      <c r="G12" s="172"/>
      <c r="H12" s="173"/>
    </row>
    <row r="13" spans="1:10" ht="30.75" thickBot="1">
      <c r="B13" s="360"/>
      <c r="C13" s="361"/>
      <c r="D13" s="361"/>
      <c r="E13" s="362"/>
      <c r="F13" s="170" t="s">
        <v>136</v>
      </c>
      <c r="G13" s="363">
        <v>328</v>
      </c>
      <c r="H13" s="364"/>
      <c r="I13" s="9"/>
      <c r="J13" s="9"/>
    </row>
    <row r="14" spans="1:10" ht="15.75" thickBot="1"/>
    <row r="15" spans="1:10" ht="38.25" thickBot="1">
      <c r="B15" s="174" t="s">
        <v>137</v>
      </c>
      <c r="C15" s="175" t="s">
        <v>138</v>
      </c>
      <c r="D15" s="174" t="s">
        <v>19</v>
      </c>
      <c r="E15" s="176" t="s">
        <v>139</v>
      </c>
      <c r="F15" s="176" t="s">
        <v>140</v>
      </c>
      <c r="G15" s="174" t="s">
        <v>141</v>
      </c>
      <c r="H15" s="177" t="s">
        <v>142</v>
      </c>
    </row>
    <row r="16" spans="1:10" ht="21" thickBot="1">
      <c r="B16" s="178">
        <v>1</v>
      </c>
      <c r="C16" s="186" t="s">
        <v>129</v>
      </c>
      <c r="D16" s="180" t="s">
        <v>130</v>
      </c>
      <c r="E16" s="190" t="s">
        <v>94</v>
      </c>
      <c r="F16" s="182" t="s">
        <v>68</v>
      </c>
      <c r="G16" s="183">
        <v>328</v>
      </c>
      <c r="H16" s="184"/>
    </row>
    <row r="17" spans="2:8" ht="21" thickBot="1">
      <c r="B17" s="178"/>
      <c r="C17" s="193"/>
      <c r="D17" s="180"/>
      <c r="E17" s="189"/>
      <c r="F17" s="189"/>
      <c r="G17" s="183"/>
      <c r="H17" s="184"/>
    </row>
    <row r="18" spans="2:8" ht="21.75" thickBot="1">
      <c r="B18" s="178"/>
      <c r="C18" s="179"/>
      <c r="D18" s="180"/>
      <c r="E18" s="190"/>
      <c r="F18" s="182"/>
      <c r="G18" s="183"/>
      <c r="H18" s="184"/>
    </row>
    <row r="19" spans="2:8" ht="21.75" thickBot="1">
      <c r="B19" s="178"/>
      <c r="C19" s="179"/>
      <c r="D19" s="180"/>
      <c r="E19" s="191"/>
      <c r="F19" s="182"/>
      <c r="G19" s="183"/>
      <c r="H19" s="184"/>
    </row>
    <row r="20" spans="2:8" ht="21.75" thickBot="1">
      <c r="B20" s="178"/>
      <c r="C20" s="179"/>
      <c r="D20" s="180"/>
      <c r="E20" s="190"/>
      <c r="F20" s="182"/>
      <c r="G20" s="183"/>
      <c r="H20" s="184"/>
    </row>
    <row r="21" spans="2:8" ht="21.75" thickBot="1">
      <c r="B21" s="178"/>
      <c r="C21" s="179"/>
      <c r="D21" s="180"/>
      <c r="E21" s="191"/>
      <c r="F21" s="182"/>
      <c r="G21" s="183"/>
      <c r="H21" s="184"/>
    </row>
    <row r="22" spans="2:8" ht="21.75" thickBot="1">
      <c r="B22" s="178"/>
      <c r="C22" s="179"/>
      <c r="D22" s="180"/>
      <c r="E22" s="190"/>
      <c r="F22" s="182"/>
      <c r="G22" s="183"/>
      <c r="H22" s="184"/>
    </row>
    <row r="23" spans="2:8" ht="21" thickBot="1">
      <c r="B23" s="178"/>
      <c r="C23" s="186"/>
      <c r="D23" s="180"/>
      <c r="E23" s="185"/>
      <c r="F23" s="182"/>
      <c r="G23" s="183"/>
      <c r="H23" s="188"/>
    </row>
    <row r="24" spans="2:8" ht="21" thickBot="1">
      <c r="B24" s="178"/>
      <c r="C24" s="186"/>
      <c r="D24" s="180"/>
      <c r="E24" s="181"/>
      <c r="F24" s="182"/>
      <c r="G24" s="183"/>
      <c r="H24" s="188"/>
    </row>
    <row r="25" spans="2:8" ht="23.25" thickBot="1">
      <c r="B25" s="178"/>
      <c r="C25" s="186"/>
      <c r="D25" s="180"/>
      <c r="E25" s="185"/>
      <c r="F25" s="182"/>
      <c r="G25" s="192">
        <f>SUM(G16:G24)</f>
        <v>328</v>
      </c>
      <c r="H25" s="188"/>
    </row>
  </sheetData>
  <mergeCells count="11">
    <mergeCell ref="B10:D10"/>
    <mergeCell ref="G10:H10"/>
    <mergeCell ref="B12:E13"/>
    <mergeCell ref="G13:H13"/>
    <mergeCell ref="A1:H1"/>
    <mergeCell ref="B2:H2"/>
    <mergeCell ref="B4:H4"/>
    <mergeCell ref="G6:H6"/>
    <mergeCell ref="B8:H8"/>
    <mergeCell ref="B9:D9"/>
    <mergeCell ref="G9:H9"/>
  </mergeCells>
  <printOptions horizontalCentered="1"/>
  <pageMargins left="0" right="0" top="0" bottom="0" header="0" footer="0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8"/>
  <sheetViews>
    <sheetView topLeftCell="A11" workbookViewId="0">
      <selection activeCell="C16" sqref="C16:G21"/>
    </sheetView>
  </sheetViews>
  <sheetFormatPr defaultRowHeight="15"/>
  <cols>
    <col min="1" max="1" width="5.42578125" customWidth="1"/>
    <col min="2" max="2" width="7.5703125" customWidth="1"/>
    <col min="3" max="3" width="6" customWidth="1"/>
    <col min="4" max="4" width="15.85546875" customWidth="1"/>
    <col min="5" max="5" width="38" customWidth="1"/>
    <col min="6" max="6" width="30.5703125" customWidth="1"/>
    <col min="7" max="7" width="15" customWidth="1"/>
    <col min="8" max="8" width="7.28515625" customWidth="1"/>
    <col min="9" max="9" width="13.85546875" customWidth="1"/>
    <col min="10" max="10" width="11.5703125" customWidth="1"/>
  </cols>
  <sheetData>
    <row r="1" spans="1:12" ht="24.75" customHeight="1"/>
    <row r="2" spans="1:12" ht="18.75" customHeight="1" thickBot="1"/>
    <row r="3" spans="1:12" ht="13.5" customHeight="1" thickTop="1">
      <c r="B3" s="372" t="s">
        <v>359</v>
      </c>
      <c r="C3" s="373"/>
      <c r="D3" s="373"/>
      <c r="E3" s="373"/>
      <c r="F3" s="373"/>
      <c r="G3" s="373"/>
      <c r="H3" s="373"/>
      <c r="I3" s="373"/>
      <c r="J3" s="373"/>
      <c r="K3" s="374"/>
    </row>
    <row r="4" spans="1:12" ht="13.5" customHeight="1" thickBot="1">
      <c r="B4" s="375"/>
      <c r="C4" s="376"/>
      <c r="D4" s="376"/>
      <c r="E4" s="376"/>
      <c r="F4" s="376"/>
      <c r="G4" s="376"/>
      <c r="H4" s="376"/>
      <c r="I4" s="376"/>
      <c r="J4" s="376"/>
      <c r="K4" s="377"/>
    </row>
    <row r="5" spans="1:12" ht="6.75" customHeight="1" thickTop="1" thickBot="1"/>
    <row r="6" spans="1:12" ht="15.75" hidden="1" thickBot="1"/>
    <row r="7" spans="1:12" ht="15.75" hidden="1" thickBot="1"/>
    <row r="8" spans="1:12" ht="57.75" thickTop="1" thickBot="1">
      <c r="A8" s="115" t="s">
        <v>3</v>
      </c>
      <c r="B8" s="116" t="s">
        <v>59</v>
      </c>
      <c r="C8" s="116" t="s">
        <v>60</v>
      </c>
      <c r="D8" s="117" t="s">
        <v>66</v>
      </c>
      <c r="E8" s="117" t="s">
        <v>61</v>
      </c>
      <c r="F8" s="117" t="s">
        <v>62</v>
      </c>
      <c r="G8" s="117" t="s">
        <v>63</v>
      </c>
      <c r="H8" s="117" t="s">
        <v>57</v>
      </c>
      <c r="I8" s="116" t="s">
        <v>64</v>
      </c>
      <c r="J8" s="116" t="s">
        <v>65</v>
      </c>
      <c r="K8" s="117" t="s">
        <v>44</v>
      </c>
      <c r="L8" s="117" t="s">
        <v>58</v>
      </c>
    </row>
    <row r="9" spans="1:12" ht="30" customHeight="1" thickTop="1" thickBot="1">
      <c r="A9" s="118">
        <v>1</v>
      </c>
      <c r="B9" s="23">
        <v>1</v>
      </c>
      <c r="C9" s="223" t="s">
        <v>125</v>
      </c>
      <c r="D9" s="123">
        <v>45324</v>
      </c>
      <c r="E9" s="124" t="s">
        <v>108</v>
      </c>
      <c r="F9" s="114" t="s">
        <v>92</v>
      </c>
      <c r="G9" s="168">
        <v>900</v>
      </c>
      <c r="H9" s="21"/>
      <c r="I9" s="168">
        <f>G9</f>
        <v>900</v>
      </c>
      <c r="J9" s="21"/>
      <c r="K9" s="21"/>
      <c r="L9" s="21"/>
    </row>
    <row r="10" spans="1:12" ht="30" customHeight="1" thickTop="1" thickBot="1">
      <c r="A10" s="118">
        <v>2</v>
      </c>
      <c r="B10" s="23"/>
      <c r="C10" s="223" t="s">
        <v>126</v>
      </c>
      <c r="D10" s="123">
        <v>45414</v>
      </c>
      <c r="E10" s="110" t="s">
        <v>87</v>
      </c>
      <c r="F10" s="114" t="s">
        <v>340</v>
      </c>
      <c r="G10" s="168">
        <v>900</v>
      </c>
      <c r="H10" s="21"/>
      <c r="I10" s="168">
        <f t="shared" ref="I10:I21" si="0">G10</f>
        <v>900</v>
      </c>
      <c r="J10" s="21"/>
      <c r="K10" s="21"/>
      <c r="L10" s="21"/>
    </row>
    <row r="11" spans="1:12" ht="30" customHeight="1" thickTop="1" thickBot="1">
      <c r="A11" s="118">
        <v>3</v>
      </c>
      <c r="B11" s="23"/>
      <c r="C11" s="223" t="s">
        <v>240</v>
      </c>
      <c r="D11" s="123">
        <v>45415</v>
      </c>
      <c r="E11" s="124" t="s">
        <v>108</v>
      </c>
      <c r="F11" s="114" t="s">
        <v>92</v>
      </c>
      <c r="G11" s="168">
        <v>900</v>
      </c>
      <c r="H11" s="21"/>
      <c r="I11" s="168">
        <f t="shared" si="0"/>
        <v>900</v>
      </c>
      <c r="J11" s="21"/>
      <c r="K11" s="21"/>
      <c r="L11" s="21"/>
    </row>
    <row r="12" spans="1:12" ht="30" customHeight="1" thickTop="1" thickBot="1">
      <c r="A12" s="118">
        <v>4</v>
      </c>
      <c r="B12" s="23"/>
      <c r="C12" s="223" t="s">
        <v>241</v>
      </c>
      <c r="D12" s="123">
        <v>45568</v>
      </c>
      <c r="E12" s="110" t="s">
        <v>87</v>
      </c>
      <c r="F12" s="114" t="s">
        <v>340</v>
      </c>
      <c r="G12" s="168">
        <v>900</v>
      </c>
      <c r="H12" s="21"/>
      <c r="I12" s="168">
        <f t="shared" si="0"/>
        <v>900</v>
      </c>
      <c r="J12" s="21"/>
      <c r="K12" s="21"/>
      <c r="L12" s="21"/>
    </row>
    <row r="13" spans="1:12" ht="30" customHeight="1" thickTop="1" thickBot="1">
      <c r="A13" s="118">
        <v>5</v>
      </c>
      <c r="B13" s="23">
        <v>2</v>
      </c>
      <c r="C13" s="223" t="s">
        <v>127</v>
      </c>
      <c r="D13" s="123" t="s">
        <v>343</v>
      </c>
      <c r="E13" s="114" t="s">
        <v>94</v>
      </c>
      <c r="F13" s="110" t="s">
        <v>341</v>
      </c>
      <c r="G13" s="168">
        <v>1040</v>
      </c>
      <c r="H13" s="21"/>
      <c r="I13" s="168">
        <f t="shared" si="0"/>
        <v>1040</v>
      </c>
      <c r="J13" s="21"/>
      <c r="K13" s="21"/>
      <c r="L13" s="21"/>
    </row>
    <row r="14" spans="1:12" ht="30" customHeight="1" thickTop="1" thickBot="1">
      <c r="A14" s="118">
        <v>6</v>
      </c>
      <c r="B14" s="23"/>
      <c r="C14" s="223" t="s">
        <v>175</v>
      </c>
      <c r="D14" s="123" t="s">
        <v>242</v>
      </c>
      <c r="E14" s="110" t="s">
        <v>128</v>
      </c>
      <c r="F14" s="110" t="s">
        <v>342</v>
      </c>
      <c r="G14" s="168">
        <v>500</v>
      </c>
      <c r="H14" s="21"/>
      <c r="I14" s="168">
        <f t="shared" si="0"/>
        <v>500</v>
      </c>
      <c r="J14" s="21"/>
      <c r="K14" s="21"/>
      <c r="L14" s="21"/>
    </row>
    <row r="15" spans="1:12" ht="30" customHeight="1" thickTop="1" thickBot="1">
      <c r="A15" s="118">
        <v>7</v>
      </c>
      <c r="B15" s="23"/>
      <c r="C15" s="223" t="s">
        <v>176</v>
      </c>
      <c r="D15" s="123">
        <v>45575</v>
      </c>
      <c r="E15" s="124" t="s">
        <v>110</v>
      </c>
      <c r="F15" s="110" t="s">
        <v>341</v>
      </c>
      <c r="G15" s="168">
        <v>1400</v>
      </c>
      <c r="H15" s="21"/>
      <c r="I15" s="168">
        <f t="shared" si="0"/>
        <v>1400</v>
      </c>
      <c r="J15" s="21"/>
      <c r="K15" s="21"/>
      <c r="L15" s="21"/>
    </row>
    <row r="16" spans="1:12" ht="30" customHeight="1" thickTop="1" thickBot="1">
      <c r="A16" s="118">
        <v>8</v>
      </c>
      <c r="B16" s="23">
        <v>3</v>
      </c>
      <c r="C16" s="223" t="s">
        <v>344</v>
      </c>
      <c r="D16" s="123">
        <v>45508</v>
      </c>
      <c r="E16" s="124" t="s">
        <v>108</v>
      </c>
      <c r="F16" s="114" t="s">
        <v>350</v>
      </c>
      <c r="G16" s="168">
        <v>900</v>
      </c>
      <c r="H16" s="21"/>
      <c r="I16" s="168">
        <f t="shared" si="0"/>
        <v>900</v>
      </c>
      <c r="J16" s="21"/>
      <c r="K16" s="21"/>
      <c r="L16" s="21"/>
    </row>
    <row r="17" spans="1:16" ht="30" customHeight="1" thickTop="1" thickBot="1">
      <c r="A17" s="118">
        <v>9</v>
      </c>
      <c r="B17" s="23"/>
      <c r="C17" s="223" t="s">
        <v>345</v>
      </c>
      <c r="D17" s="123" t="s">
        <v>351</v>
      </c>
      <c r="E17" s="110" t="s">
        <v>87</v>
      </c>
      <c r="F17" s="114" t="s">
        <v>340</v>
      </c>
      <c r="G17" s="168">
        <v>900</v>
      </c>
      <c r="H17" s="21"/>
      <c r="I17" s="168">
        <f t="shared" si="0"/>
        <v>900</v>
      </c>
      <c r="J17" s="21"/>
      <c r="K17" s="21"/>
      <c r="L17" s="21"/>
    </row>
    <row r="18" spans="1:16" ht="30" customHeight="1" thickTop="1" thickBot="1">
      <c r="A18" s="118">
        <v>10</v>
      </c>
      <c r="B18" s="23"/>
      <c r="C18" s="223" t="s">
        <v>346</v>
      </c>
      <c r="D18" s="123">
        <v>45387</v>
      </c>
      <c r="E18" s="124" t="s">
        <v>108</v>
      </c>
      <c r="F18" s="114" t="s">
        <v>350</v>
      </c>
      <c r="G18" s="168">
        <v>900</v>
      </c>
      <c r="H18" s="21"/>
      <c r="I18" s="168">
        <f t="shared" si="0"/>
        <v>900</v>
      </c>
      <c r="J18" s="21"/>
      <c r="K18" s="21"/>
      <c r="L18" s="21"/>
      <c r="P18" s="157"/>
    </row>
    <row r="19" spans="1:16" ht="30" customHeight="1" thickTop="1" thickBot="1">
      <c r="A19" s="118">
        <v>11</v>
      </c>
      <c r="B19" s="23"/>
      <c r="C19" s="223" t="s">
        <v>347</v>
      </c>
      <c r="D19" s="123">
        <v>45387</v>
      </c>
      <c r="E19" s="110" t="s">
        <v>87</v>
      </c>
      <c r="F19" s="114" t="s">
        <v>340</v>
      </c>
      <c r="G19" s="168">
        <v>900</v>
      </c>
      <c r="H19" s="21"/>
      <c r="I19" s="168">
        <f t="shared" si="0"/>
        <v>900</v>
      </c>
      <c r="J19" s="21"/>
      <c r="K19" s="21"/>
      <c r="L19" s="21"/>
    </row>
    <row r="20" spans="1:16" ht="30" customHeight="1" thickTop="1" thickBot="1">
      <c r="A20" s="118">
        <v>12</v>
      </c>
      <c r="B20" s="23"/>
      <c r="C20" s="223" t="s">
        <v>348</v>
      </c>
      <c r="D20" s="123">
        <v>45632</v>
      </c>
      <c r="E20" s="124" t="s">
        <v>108</v>
      </c>
      <c r="F20" s="114" t="s">
        <v>350</v>
      </c>
      <c r="G20" s="168">
        <v>900</v>
      </c>
      <c r="H20" s="21"/>
      <c r="I20" s="168">
        <f t="shared" si="0"/>
        <v>900</v>
      </c>
      <c r="J20" s="21"/>
      <c r="K20" s="21"/>
      <c r="L20" s="21"/>
    </row>
    <row r="21" spans="1:16" ht="30" customHeight="1" thickTop="1" thickBot="1">
      <c r="A21" s="118">
        <v>13</v>
      </c>
      <c r="B21" s="23"/>
      <c r="C21" s="223" t="s">
        <v>349</v>
      </c>
      <c r="D21" s="123" t="s">
        <v>352</v>
      </c>
      <c r="E21" s="110" t="s">
        <v>87</v>
      </c>
      <c r="F21" s="114" t="s">
        <v>340</v>
      </c>
      <c r="G21" s="168">
        <v>900</v>
      </c>
      <c r="H21" s="21"/>
      <c r="I21" s="168">
        <f t="shared" si="0"/>
        <v>900</v>
      </c>
      <c r="J21" s="21"/>
      <c r="K21" s="21"/>
      <c r="L21" s="21"/>
    </row>
    <row r="22" spans="1:16" ht="30" customHeight="1" thickTop="1" thickBot="1">
      <c r="A22" s="118">
        <v>14</v>
      </c>
      <c r="B22" s="23">
        <v>4</v>
      </c>
      <c r="C22" s="23">
        <v>4</v>
      </c>
      <c r="D22" s="123" t="s">
        <v>287</v>
      </c>
      <c r="E22" s="224" t="s">
        <v>327</v>
      </c>
      <c r="F22" s="114" t="s">
        <v>324</v>
      </c>
      <c r="G22" s="168">
        <v>10000</v>
      </c>
      <c r="H22" s="21"/>
      <c r="I22" s="168">
        <f t="shared" ref="I22" si="1">G22</f>
        <v>10000</v>
      </c>
      <c r="J22" s="21"/>
      <c r="K22" s="21"/>
      <c r="L22" s="21"/>
    </row>
    <row r="23" spans="1:16" ht="13.5" customHeight="1" thickTop="1"/>
    <row r="25" spans="1:16" ht="13.5" customHeight="1"/>
    <row r="26" spans="1:16" ht="13.5" customHeight="1"/>
    <row r="27" spans="1:16" ht="64.5" customHeight="1" thickBot="1"/>
    <row r="28" spans="1:16" ht="15.75" hidden="1" thickBot="1"/>
    <row r="29" spans="1:16" ht="15.75" hidden="1" thickBot="1"/>
    <row r="30" spans="1:16" ht="57.75" thickTop="1" thickBot="1">
      <c r="A30" s="115" t="s">
        <v>3</v>
      </c>
      <c r="B30" s="116" t="s">
        <v>59</v>
      </c>
      <c r="C30" s="116" t="s">
        <v>60</v>
      </c>
      <c r="D30" s="117" t="s">
        <v>66</v>
      </c>
      <c r="E30" s="117" t="s">
        <v>61</v>
      </c>
      <c r="F30" s="117" t="s">
        <v>62</v>
      </c>
      <c r="G30" s="117" t="s">
        <v>63</v>
      </c>
      <c r="H30" s="117" t="s">
        <v>57</v>
      </c>
      <c r="I30" s="116" t="s">
        <v>64</v>
      </c>
      <c r="J30" s="116" t="s">
        <v>65</v>
      </c>
      <c r="K30" s="117" t="s">
        <v>44</v>
      </c>
      <c r="L30" s="117" t="s">
        <v>58</v>
      </c>
    </row>
    <row r="31" spans="1:16" ht="27.6" customHeight="1" thickTop="1" thickBot="1">
      <c r="A31" s="118">
        <v>15</v>
      </c>
      <c r="B31" s="23">
        <v>5</v>
      </c>
      <c r="C31" s="23">
        <v>5</v>
      </c>
      <c r="D31" s="123" t="s">
        <v>356</v>
      </c>
      <c r="E31" s="110" t="s">
        <v>328</v>
      </c>
      <c r="F31" s="114" t="s">
        <v>326</v>
      </c>
      <c r="G31" s="168">
        <v>7800</v>
      </c>
      <c r="H31" s="21"/>
      <c r="I31" s="168">
        <f t="shared" ref="I31:I36" si="2">G31</f>
        <v>7800</v>
      </c>
      <c r="J31" s="21"/>
      <c r="K31" s="21"/>
      <c r="L31" s="21"/>
    </row>
    <row r="32" spans="1:16" ht="27.6" customHeight="1" thickTop="1" thickBot="1">
      <c r="A32" s="118">
        <v>16</v>
      </c>
      <c r="B32" s="23">
        <v>6</v>
      </c>
      <c r="C32" s="23">
        <v>6</v>
      </c>
      <c r="D32" s="123" t="s">
        <v>356</v>
      </c>
      <c r="E32" s="110" t="s">
        <v>329</v>
      </c>
      <c r="F32" s="114" t="s">
        <v>330</v>
      </c>
      <c r="G32" s="168">
        <v>15425</v>
      </c>
      <c r="H32" s="21"/>
      <c r="I32" s="168">
        <f t="shared" si="2"/>
        <v>15425</v>
      </c>
      <c r="J32" s="21"/>
      <c r="K32" s="21"/>
      <c r="L32" s="21"/>
    </row>
    <row r="33" spans="1:12" ht="27.6" customHeight="1" thickTop="1" thickBot="1">
      <c r="A33" s="118">
        <v>17</v>
      </c>
      <c r="B33" s="23">
        <v>7</v>
      </c>
      <c r="C33" s="295" t="s">
        <v>353</v>
      </c>
      <c r="D33" s="123" t="s">
        <v>246</v>
      </c>
      <c r="E33" s="110" t="s">
        <v>247</v>
      </c>
      <c r="F33" s="114" t="s">
        <v>190</v>
      </c>
      <c r="G33" s="168">
        <v>500</v>
      </c>
      <c r="H33" s="21"/>
      <c r="I33" s="168">
        <f t="shared" si="2"/>
        <v>500</v>
      </c>
      <c r="J33" s="21"/>
      <c r="K33" s="21"/>
      <c r="L33" s="21"/>
    </row>
    <row r="34" spans="1:12" ht="27.6" customHeight="1" thickTop="1" thickBot="1">
      <c r="A34" s="118">
        <v>18</v>
      </c>
      <c r="B34" s="23"/>
      <c r="C34" s="295" t="s">
        <v>354</v>
      </c>
      <c r="D34" s="123" t="s">
        <v>244</v>
      </c>
      <c r="E34" s="110" t="s">
        <v>128</v>
      </c>
      <c r="F34" s="110" t="s">
        <v>342</v>
      </c>
      <c r="G34" s="168">
        <v>500</v>
      </c>
      <c r="H34" s="21"/>
      <c r="I34" s="168">
        <f t="shared" si="2"/>
        <v>500</v>
      </c>
      <c r="J34" s="21"/>
      <c r="K34" s="21"/>
      <c r="L34" s="21"/>
    </row>
    <row r="35" spans="1:12" ht="27.6" customHeight="1" thickTop="1" thickBot="1">
      <c r="A35" s="118">
        <v>19</v>
      </c>
      <c r="B35" s="23"/>
      <c r="C35" s="295" t="s">
        <v>355</v>
      </c>
      <c r="D35" s="123" t="s">
        <v>221</v>
      </c>
      <c r="E35" s="124" t="s">
        <v>109</v>
      </c>
      <c r="F35" s="114" t="s">
        <v>357</v>
      </c>
      <c r="G35" s="168">
        <v>500</v>
      </c>
      <c r="H35" s="21"/>
      <c r="I35" s="168">
        <f t="shared" si="2"/>
        <v>500</v>
      </c>
      <c r="J35" s="21"/>
      <c r="K35" s="21"/>
      <c r="L35" s="21"/>
    </row>
    <row r="36" spans="1:12" ht="27.6" customHeight="1" thickTop="1" thickBot="1">
      <c r="A36" s="118">
        <v>20</v>
      </c>
      <c r="B36" s="23">
        <v>8</v>
      </c>
      <c r="C36" s="23">
        <v>8</v>
      </c>
      <c r="D36" s="123" t="s">
        <v>358</v>
      </c>
      <c r="E36" s="110" t="s">
        <v>337</v>
      </c>
      <c r="F36" s="114" t="s">
        <v>336</v>
      </c>
      <c r="G36" s="168">
        <v>6000</v>
      </c>
      <c r="H36" s="21"/>
      <c r="I36" s="168">
        <f t="shared" si="2"/>
        <v>6000</v>
      </c>
      <c r="J36" s="21"/>
      <c r="K36" s="21"/>
      <c r="L36" s="21"/>
    </row>
    <row r="37" spans="1:12" ht="27.6" customHeight="1" thickTop="1" thickBot="1">
      <c r="A37" s="118"/>
      <c r="B37" s="23"/>
      <c r="C37" s="223"/>
      <c r="D37" s="123"/>
      <c r="E37" s="114"/>
      <c r="F37" s="114"/>
      <c r="G37" s="168"/>
      <c r="H37" s="21"/>
      <c r="I37" s="168"/>
      <c r="J37" s="21"/>
      <c r="K37" s="21"/>
      <c r="L37" s="21"/>
    </row>
    <row r="38" spans="1:12" ht="15.75" thickTop="1"/>
  </sheetData>
  <mergeCells count="1">
    <mergeCell ref="B3:K4"/>
  </mergeCells>
  <pageMargins left="0" right="0" top="0" bottom="0" header="0" footer="0"/>
  <pageSetup paperSize="346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27" workbookViewId="0">
      <selection activeCell="L35" sqref="L35"/>
    </sheetView>
  </sheetViews>
  <sheetFormatPr defaultRowHeight="15"/>
  <cols>
    <col min="1" max="1" width="0.7109375" style="8" customWidth="1"/>
    <col min="2" max="2" width="4.7109375" style="8" customWidth="1"/>
    <col min="3" max="3" width="8" style="8" customWidth="1"/>
    <col min="4" max="4" width="14.85546875" style="8" customWidth="1"/>
    <col min="5" max="6" width="27.140625" style="8" customWidth="1"/>
    <col min="7" max="7" width="12.5703125" style="8" customWidth="1"/>
    <col min="8" max="8" width="7.5703125" style="8" customWidth="1"/>
    <col min="9" max="9" width="4.42578125" style="8" hidden="1" customWidth="1"/>
    <col min="10" max="10" width="1.140625" style="8" customWidth="1"/>
    <col min="11" max="16384" width="9.140625" style="8"/>
  </cols>
  <sheetData>
    <row r="1" spans="1:10" ht="15.75" thickBot="1">
      <c r="A1" s="296"/>
      <c r="B1" s="296"/>
      <c r="C1" s="296"/>
      <c r="D1" s="296"/>
      <c r="E1" s="296"/>
      <c r="F1" s="296"/>
      <c r="G1" s="296"/>
      <c r="H1" s="296"/>
    </row>
    <row r="2" spans="1:10" ht="29.25" thickBot="1">
      <c r="B2" s="365" t="s">
        <v>143</v>
      </c>
      <c r="C2" s="366"/>
      <c r="D2" s="366"/>
      <c r="E2" s="366"/>
      <c r="F2" s="366"/>
      <c r="G2" s="366"/>
      <c r="H2" s="367"/>
      <c r="I2" s="9"/>
      <c r="J2" s="9"/>
    </row>
    <row r="3" spans="1:10" ht="21">
      <c r="B3" s="10"/>
      <c r="C3" s="10"/>
      <c r="D3" s="10"/>
      <c r="E3" s="10"/>
      <c r="F3" s="10"/>
      <c r="G3" s="10"/>
      <c r="H3" s="10"/>
    </row>
    <row r="4" spans="1:10" ht="21">
      <c r="B4" s="368"/>
      <c r="C4" s="368"/>
      <c r="D4" s="368"/>
      <c r="E4" s="368"/>
      <c r="F4" s="368"/>
      <c r="G4" s="368"/>
      <c r="H4" s="368"/>
    </row>
    <row r="5" spans="1:10" ht="21">
      <c r="B5" s="11"/>
      <c r="C5" s="11"/>
      <c r="D5" s="11"/>
      <c r="E5" s="11"/>
      <c r="F5" s="11"/>
      <c r="G5" s="11"/>
      <c r="H5" s="11"/>
    </row>
    <row r="6" spans="1:10" ht="27">
      <c r="B6" s="11"/>
      <c r="C6" s="11"/>
      <c r="D6" s="11"/>
      <c r="E6" s="11"/>
      <c r="F6" s="11"/>
      <c r="G6" s="369"/>
      <c r="H6" s="369"/>
    </row>
    <row r="8" spans="1:10" ht="15.75" thickBot="1">
      <c r="B8" s="361"/>
      <c r="C8" s="361"/>
      <c r="D8" s="361"/>
      <c r="E8" s="361"/>
      <c r="F8" s="361"/>
      <c r="G8" s="361"/>
      <c r="H8" s="361"/>
    </row>
    <row r="9" spans="1:10" ht="27.75" thickBot="1">
      <c r="B9" s="353" t="s">
        <v>132</v>
      </c>
      <c r="C9" s="354"/>
      <c r="D9" s="354"/>
      <c r="E9" s="169" t="s">
        <v>360</v>
      </c>
      <c r="F9" s="170" t="s">
        <v>133</v>
      </c>
      <c r="G9" s="370"/>
      <c r="H9" s="371"/>
    </row>
    <row r="10" spans="1:10" ht="27.75" thickBot="1">
      <c r="B10" s="353" t="s">
        <v>134</v>
      </c>
      <c r="C10" s="354"/>
      <c r="D10" s="354"/>
      <c r="E10" s="169" t="s">
        <v>361</v>
      </c>
      <c r="F10" s="170" t="s">
        <v>135</v>
      </c>
      <c r="G10" s="355">
        <v>45931</v>
      </c>
      <c r="H10" s="356"/>
    </row>
    <row r="11" spans="1:10" ht="15.75" hidden="1" thickBot="1">
      <c r="F11" s="171"/>
      <c r="G11" s="172"/>
      <c r="H11" s="173"/>
    </row>
    <row r="12" spans="1:10" ht="15.75" thickBot="1">
      <c r="B12" s="357"/>
      <c r="C12" s="358"/>
      <c r="D12" s="358"/>
      <c r="E12" s="359"/>
      <c r="F12" s="171"/>
      <c r="G12" s="172"/>
      <c r="H12" s="173"/>
    </row>
    <row r="13" spans="1:10" ht="30.75" thickBot="1">
      <c r="B13" s="360"/>
      <c r="C13" s="361"/>
      <c r="D13" s="361"/>
      <c r="E13" s="362"/>
      <c r="F13" s="170" t="s">
        <v>136</v>
      </c>
      <c r="G13" s="363">
        <v>5400</v>
      </c>
      <c r="H13" s="364"/>
      <c r="I13" s="9"/>
      <c r="J13" s="9"/>
    </row>
    <row r="14" spans="1:10" ht="15.75" thickBot="1"/>
    <row r="15" spans="1:10" ht="38.25" thickBot="1">
      <c r="B15" s="174" t="s">
        <v>137</v>
      </c>
      <c r="C15" s="175" t="s">
        <v>138</v>
      </c>
      <c r="D15" s="174" t="s">
        <v>19</v>
      </c>
      <c r="E15" s="176" t="s">
        <v>139</v>
      </c>
      <c r="F15" s="176" t="s">
        <v>140</v>
      </c>
      <c r="G15" s="174" t="s">
        <v>141</v>
      </c>
      <c r="H15" s="177" t="s">
        <v>142</v>
      </c>
    </row>
    <row r="16" spans="1:10" ht="21" thickBot="1">
      <c r="B16" s="178">
        <v>1</v>
      </c>
      <c r="C16" s="193" t="s">
        <v>344</v>
      </c>
      <c r="D16" s="180">
        <v>45508</v>
      </c>
      <c r="E16" s="190" t="s">
        <v>108</v>
      </c>
      <c r="F16" s="182" t="s">
        <v>350</v>
      </c>
      <c r="G16" s="183">
        <v>900</v>
      </c>
      <c r="H16" s="184"/>
    </row>
    <row r="17" spans="2:8" ht="21" thickBot="1">
      <c r="B17" s="178">
        <v>2</v>
      </c>
      <c r="C17" s="193" t="s">
        <v>345</v>
      </c>
      <c r="D17" s="180" t="s">
        <v>351</v>
      </c>
      <c r="E17" s="191" t="s">
        <v>87</v>
      </c>
      <c r="F17" s="182" t="s">
        <v>340</v>
      </c>
      <c r="G17" s="183">
        <v>900</v>
      </c>
      <c r="H17" s="184"/>
    </row>
    <row r="18" spans="2:8" ht="21" thickBot="1">
      <c r="B18" s="178">
        <v>3</v>
      </c>
      <c r="C18" s="193" t="s">
        <v>346</v>
      </c>
      <c r="D18" s="180">
        <v>45387</v>
      </c>
      <c r="E18" s="190" t="s">
        <v>108</v>
      </c>
      <c r="F18" s="182" t="s">
        <v>350</v>
      </c>
      <c r="G18" s="183">
        <v>900</v>
      </c>
      <c r="H18" s="184"/>
    </row>
    <row r="19" spans="2:8" ht="21" thickBot="1">
      <c r="B19" s="178">
        <v>4</v>
      </c>
      <c r="C19" s="193" t="s">
        <v>347</v>
      </c>
      <c r="D19" s="180">
        <v>45387</v>
      </c>
      <c r="E19" s="191" t="s">
        <v>87</v>
      </c>
      <c r="F19" s="182" t="s">
        <v>340</v>
      </c>
      <c r="G19" s="183">
        <v>900</v>
      </c>
      <c r="H19" s="184"/>
    </row>
    <row r="20" spans="2:8" ht="21" thickBot="1">
      <c r="B20" s="178">
        <v>5</v>
      </c>
      <c r="C20" s="193" t="s">
        <v>348</v>
      </c>
      <c r="D20" s="180">
        <v>45632</v>
      </c>
      <c r="E20" s="190" t="s">
        <v>108</v>
      </c>
      <c r="F20" s="182" t="s">
        <v>350</v>
      </c>
      <c r="G20" s="183">
        <v>900</v>
      </c>
      <c r="H20" s="184"/>
    </row>
    <row r="21" spans="2:8" ht="21" thickBot="1">
      <c r="B21" s="178">
        <v>6</v>
      </c>
      <c r="C21" s="193" t="s">
        <v>349</v>
      </c>
      <c r="D21" s="180" t="s">
        <v>352</v>
      </c>
      <c r="E21" s="191" t="s">
        <v>87</v>
      </c>
      <c r="F21" s="182" t="s">
        <v>340</v>
      </c>
      <c r="G21" s="183">
        <v>900</v>
      </c>
      <c r="H21" s="184"/>
    </row>
    <row r="22" spans="2:8" ht="21" thickBot="1">
      <c r="B22" s="178"/>
      <c r="C22" s="193"/>
      <c r="D22" s="180"/>
      <c r="E22" s="182"/>
      <c r="F22" s="182"/>
      <c r="G22" s="183"/>
      <c r="H22" s="184"/>
    </row>
    <row r="23" spans="2:8" ht="21" thickBot="1">
      <c r="B23" s="178"/>
      <c r="C23" s="193"/>
      <c r="D23" s="180"/>
      <c r="E23" s="190"/>
      <c r="F23" s="182"/>
      <c r="G23" s="183"/>
      <c r="H23" s="184"/>
    </row>
    <row r="24" spans="2:8" ht="21" thickBot="1">
      <c r="B24" s="178"/>
      <c r="C24" s="193"/>
      <c r="D24" s="180"/>
      <c r="E24" s="191"/>
      <c r="F24" s="182"/>
      <c r="G24" s="183"/>
      <c r="H24" s="184"/>
    </row>
    <row r="25" spans="2:8" ht="21" thickBot="1">
      <c r="B25" s="178"/>
      <c r="C25" s="193"/>
      <c r="D25" s="180"/>
      <c r="E25" s="190"/>
      <c r="F25" s="182"/>
      <c r="G25" s="183"/>
      <c r="H25" s="187"/>
    </row>
    <row r="26" spans="2:8" ht="21" thickBot="1">
      <c r="B26" s="178"/>
      <c r="C26" s="193"/>
      <c r="D26" s="180"/>
      <c r="E26" s="191"/>
      <c r="F26" s="182"/>
      <c r="G26" s="183"/>
      <c r="H26" s="188"/>
    </row>
    <row r="27" spans="2:8" ht="21" thickBot="1">
      <c r="B27" s="178"/>
      <c r="C27" s="193"/>
      <c r="D27" s="180"/>
      <c r="E27" s="190"/>
      <c r="F27" s="182"/>
      <c r="G27" s="183"/>
      <c r="H27" s="188"/>
    </row>
    <row r="28" spans="2:8" ht="21" thickBot="1">
      <c r="B28" s="178"/>
      <c r="C28" s="193"/>
      <c r="D28" s="180"/>
      <c r="E28" s="191"/>
      <c r="F28" s="182"/>
      <c r="G28" s="183"/>
      <c r="H28" s="188"/>
    </row>
    <row r="29" spans="2:8" ht="21" thickBot="1">
      <c r="B29" s="178"/>
      <c r="C29" s="193"/>
      <c r="D29" s="180"/>
      <c r="E29" s="191"/>
      <c r="F29" s="182"/>
      <c r="G29" s="183"/>
      <c r="H29" s="188"/>
    </row>
    <row r="30" spans="2:8" ht="21" thickBot="1">
      <c r="B30" s="178"/>
      <c r="C30" s="193"/>
      <c r="D30" s="180"/>
      <c r="E30" s="190"/>
      <c r="F30" s="182"/>
      <c r="G30" s="183"/>
      <c r="H30" s="188"/>
    </row>
    <row r="31" spans="2:8" ht="21" thickBot="1">
      <c r="B31" s="178"/>
      <c r="C31" s="186"/>
      <c r="D31" s="180"/>
      <c r="E31" s="181"/>
      <c r="F31" s="182"/>
      <c r="G31" s="227">
        <f>SUM(G16:G30)</f>
        <v>5400</v>
      </c>
      <c r="H31" s="188"/>
    </row>
  </sheetData>
  <mergeCells count="11">
    <mergeCell ref="B10:D10"/>
    <mergeCell ref="G10:H10"/>
    <mergeCell ref="B12:E13"/>
    <mergeCell ref="G13:H13"/>
    <mergeCell ref="A1:H1"/>
    <mergeCell ref="B2:H2"/>
    <mergeCell ref="B4:H4"/>
    <mergeCell ref="G6:H6"/>
    <mergeCell ref="B8:H8"/>
    <mergeCell ref="B9:D9"/>
    <mergeCell ref="G9:H9"/>
  </mergeCells>
  <pageMargins left="0" right="0" top="0" bottom="0" header="0" footer="0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sqref="A1:H1"/>
    </sheetView>
  </sheetViews>
  <sheetFormatPr defaultRowHeight="15"/>
  <cols>
    <col min="1" max="1" width="0.7109375" style="8" customWidth="1"/>
    <col min="2" max="2" width="4.7109375" style="8" customWidth="1"/>
    <col min="3" max="3" width="8" style="8" customWidth="1"/>
    <col min="4" max="4" width="14.85546875" style="8" customWidth="1"/>
    <col min="5" max="6" width="27.140625" style="8" customWidth="1"/>
    <col min="7" max="7" width="12.5703125" style="8" customWidth="1"/>
    <col min="8" max="8" width="7.5703125" style="8" customWidth="1"/>
    <col min="9" max="9" width="4.42578125" style="8" hidden="1" customWidth="1"/>
    <col min="10" max="10" width="1.140625" style="8" customWidth="1"/>
    <col min="11" max="16384" width="9.140625" style="8"/>
  </cols>
  <sheetData>
    <row r="1" spans="1:10" ht="15.75" thickBot="1">
      <c r="A1" s="296"/>
      <c r="B1" s="296"/>
      <c r="C1" s="296"/>
      <c r="D1" s="296"/>
      <c r="E1" s="296"/>
      <c r="F1" s="296"/>
      <c r="G1" s="296"/>
      <c r="H1" s="296"/>
    </row>
    <row r="2" spans="1:10" ht="29.25" thickBot="1">
      <c r="B2" s="365" t="s">
        <v>143</v>
      </c>
      <c r="C2" s="366"/>
      <c r="D2" s="366"/>
      <c r="E2" s="366"/>
      <c r="F2" s="366"/>
      <c r="G2" s="366"/>
      <c r="H2" s="367"/>
      <c r="I2" s="9"/>
      <c r="J2" s="9"/>
    </row>
    <row r="3" spans="1:10" ht="21">
      <c r="B3" s="10"/>
      <c r="C3" s="10"/>
      <c r="D3" s="10"/>
      <c r="E3" s="10"/>
      <c r="F3" s="10"/>
      <c r="G3" s="10"/>
      <c r="H3" s="10"/>
    </row>
    <row r="4" spans="1:10" ht="21">
      <c r="B4" s="368"/>
      <c r="C4" s="368"/>
      <c r="D4" s="368"/>
      <c r="E4" s="368"/>
      <c r="F4" s="368"/>
      <c r="G4" s="368"/>
      <c r="H4" s="368"/>
    </row>
    <row r="5" spans="1:10" ht="21">
      <c r="B5" s="11"/>
      <c r="C5" s="11"/>
      <c r="D5" s="11"/>
      <c r="E5" s="11"/>
      <c r="F5" s="11"/>
      <c r="G5" s="11"/>
      <c r="H5" s="11"/>
    </row>
    <row r="6" spans="1:10" ht="27">
      <c r="B6" s="11"/>
      <c r="C6" s="11"/>
      <c r="D6" s="11"/>
      <c r="E6" s="11"/>
      <c r="F6" s="11"/>
      <c r="G6" s="369"/>
      <c r="H6" s="369"/>
    </row>
    <row r="8" spans="1:10" ht="15.75" thickBot="1">
      <c r="B8" s="361"/>
      <c r="C8" s="361"/>
      <c r="D8" s="361"/>
      <c r="E8" s="361"/>
      <c r="F8" s="361"/>
      <c r="G8" s="361"/>
      <c r="H8" s="361"/>
    </row>
    <row r="9" spans="1:10" ht="27.75" thickBot="1">
      <c r="B9" s="353" t="s">
        <v>132</v>
      </c>
      <c r="C9" s="354"/>
      <c r="D9" s="354"/>
      <c r="E9" s="169" t="s">
        <v>191</v>
      </c>
      <c r="F9" s="170" t="s">
        <v>133</v>
      </c>
      <c r="G9" s="370"/>
      <c r="H9" s="371"/>
    </row>
    <row r="10" spans="1:10" ht="27.75" thickBot="1">
      <c r="B10" s="353" t="s">
        <v>134</v>
      </c>
      <c r="C10" s="354"/>
      <c r="D10" s="354"/>
      <c r="E10" s="169" t="s">
        <v>192</v>
      </c>
      <c r="F10" s="170" t="s">
        <v>135</v>
      </c>
      <c r="G10" s="355">
        <v>45238</v>
      </c>
      <c r="H10" s="356"/>
    </row>
    <row r="11" spans="1:10" ht="15.75" hidden="1" thickBot="1">
      <c r="F11" s="171"/>
      <c r="G11" s="172"/>
      <c r="H11" s="173"/>
    </row>
    <row r="12" spans="1:10" ht="15.75" thickBot="1">
      <c r="B12" s="357"/>
      <c r="C12" s="358"/>
      <c r="D12" s="358"/>
      <c r="E12" s="359"/>
      <c r="F12" s="171"/>
      <c r="G12" s="172"/>
      <c r="H12" s="173"/>
    </row>
    <row r="13" spans="1:10" ht="30.75" thickBot="1">
      <c r="B13" s="360"/>
      <c r="C13" s="361"/>
      <c r="D13" s="361"/>
      <c r="E13" s="362"/>
      <c r="F13" s="170" t="s">
        <v>136</v>
      </c>
      <c r="G13" s="363">
        <v>1000</v>
      </c>
      <c r="H13" s="364"/>
      <c r="I13" s="9"/>
      <c r="J13" s="9"/>
    </row>
    <row r="14" spans="1:10" ht="15.75" thickBot="1"/>
    <row r="15" spans="1:10" ht="38.25" thickBot="1">
      <c r="B15" s="174" t="s">
        <v>137</v>
      </c>
      <c r="C15" s="175" t="s">
        <v>138</v>
      </c>
      <c r="D15" s="174" t="s">
        <v>19</v>
      </c>
      <c r="E15" s="176" t="s">
        <v>139</v>
      </c>
      <c r="F15" s="176" t="s">
        <v>140</v>
      </c>
      <c r="G15" s="174" t="s">
        <v>141</v>
      </c>
      <c r="H15" s="177" t="s">
        <v>142</v>
      </c>
    </row>
    <row r="16" spans="1:10" ht="21.75" thickTop="1" thickBot="1">
      <c r="B16" s="178">
        <v>1</v>
      </c>
      <c r="C16" s="193" t="s">
        <v>125</v>
      </c>
      <c r="D16" s="180">
        <v>45172</v>
      </c>
      <c r="E16" s="190" t="s">
        <v>108</v>
      </c>
      <c r="F16" s="182" t="s">
        <v>92</v>
      </c>
      <c r="G16" s="183">
        <v>500</v>
      </c>
      <c r="H16" s="229"/>
      <c r="I16" s="228">
        <f>G16</f>
        <v>500</v>
      </c>
    </row>
    <row r="17" spans="2:9" ht="21.75" thickTop="1" thickBot="1">
      <c r="B17" s="178">
        <v>2</v>
      </c>
      <c r="C17" s="193" t="s">
        <v>126</v>
      </c>
      <c r="D17" s="180">
        <v>45233</v>
      </c>
      <c r="E17" s="191" t="s">
        <v>87</v>
      </c>
      <c r="F17" s="182" t="s">
        <v>174</v>
      </c>
      <c r="G17" s="183">
        <v>500</v>
      </c>
      <c r="H17" s="229"/>
      <c r="I17" s="228">
        <f t="shared" ref="I17" si="0">G17</f>
        <v>500</v>
      </c>
    </row>
    <row r="18" spans="2:9" ht="21" thickBot="1">
      <c r="B18" s="178"/>
      <c r="C18" s="193"/>
      <c r="D18" s="180"/>
      <c r="E18" s="190"/>
      <c r="F18" s="182"/>
      <c r="G18" s="183"/>
      <c r="H18" s="184"/>
    </row>
    <row r="19" spans="2:9" ht="21" thickBot="1">
      <c r="B19" s="178"/>
      <c r="C19" s="193"/>
      <c r="D19" s="180"/>
      <c r="E19" s="191"/>
      <c r="F19" s="182"/>
      <c r="G19" s="183"/>
      <c r="H19" s="184"/>
    </row>
    <row r="20" spans="2:9" ht="21" thickBot="1">
      <c r="B20" s="178"/>
      <c r="C20" s="193"/>
      <c r="D20" s="180"/>
      <c r="E20" s="190"/>
      <c r="F20" s="182"/>
      <c r="G20" s="183"/>
      <c r="H20" s="184"/>
    </row>
    <row r="21" spans="2:9" ht="21" thickBot="1">
      <c r="B21" s="178"/>
      <c r="C21" s="193"/>
      <c r="D21" s="180"/>
      <c r="E21" s="191"/>
      <c r="F21" s="182"/>
      <c r="G21" s="183"/>
      <c r="H21" s="184"/>
    </row>
    <row r="22" spans="2:9" ht="21" thickBot="1">
      <c r="B22" s="178"/>
      <c r="C22" s="193"/>
      <c r="D22" s="180"/>
      <c r="E22" s="182"/>
      <c r="F22" s="182"/>
      <c r="G22" s="183"/>
      <c r="H22" s="184"/>
    </row>
    <row r="23" spans="2:9" ht="21" thickBot="1">
      <c r="B23" s="178"/>
      <c r="C23" s="193"/>
      <c r="D23" s="180"/>
      <c r="E23" s="190"/>
      <c r="F23" s="182"/>
      <c r="G23" s="183"/>
      <c r="H23" s="184"/>
    </row>
    <row r="24" spans="2:9" ht="21" thickBot="1">
      <c r="B24" s="178"/>
      <c r="C24" s="193"/>
      <c r="D24" s="180"/>
      <c r="E24" s="191"/>
      <c r="F24" s="182"/>
      <c r="G24" s="183"/>
      <c r="H24" s="184"/>
    </row>
    <row r="25" spans="2:9" ht="21" thickBot="1">
      <c r="B25" s="178"/>
      <c r="C25" s="193"/>
      <c r="D25" s="180"/>
      <c r="E25" s="190"/>
      <c r="F25" s="182"/>
      <c r="G25" s="183"/>
      <c r="H25" s="187"/>
    </row>
    <row r="26" spans="2:9" ht="21" thickBot="1">
      <c r="B26" s="178"/>
      <c r="C26" s="193"/>
      <c r="D26" s="180"/>
      <c r="E26" s="191"/>
      <c r="F26" s="182"/>
      <c r="G26" s="183"/>
      <c r="H26" s="188"/>
    </row>
    <row r="27" spans="2:9" ht="21" thickBot="1">
      <c r="B27" s="178"/>
      <c r="C27" s="193"/>
      <c r="D27" s="180"/>
      <c r="E27" s="190"/>
      <c r="F27" s="182"/>
      <c r="G27" s="183"/>
      <c r="H27" s="188"/>
    </row>
    <row r="28" spans="2:9" ht="21" thickBot="1">
      <c r="B28" s="178"/>
      <c r="C28" s="186"/>
      <c r="D28" s="180"/>
      <c r="E28" s="181"/>
      <c r="F28" s="182"/>
      <c r="G28" s="227">
        <f>SUM(G16:G27)</f>
        <v>1000</v>
      </c>
      <c r="H28" s="188"/>
    </row>
  </sheetData>
  <mergeCells count="11">
    <mergeCell ref="B10:D10"/>
    <mergeCell ref="G10:H10"/>
    <mergeCell ref="B12:E13"/>
    <mergeCell ref="G13:H13"/>
    <mergeCell ref="A1:H1"/>
    <mergeCell ref="B2:H2"/>
    <mergeCell ref="B4:H4"/>
    <mergeCell ref="G6:H6"/>
    <mergeCell ref="B8:H8"/>
    <mergeCell ref="B9:D9"/>
    <mergeCell ref="G9:H9"/>
  </mergeCells>
  <printOptions horizontalCentered="1"/>
  <pageMargins left="0" right="0" top="0" bottom="0" header="0" footer="0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7" workbookViewId="0">
      <selection sqref="A1:H34"/>
    </sheetView>
  </sheetViews>
  <sheetFormatPr defaultRowHeight="15"/>
  <cols>
    <col min="1" max="1" width="0.7109375" style="8" customWidth="1"/>
    <col min="2" max="2" width="4.7109375" style="8" customWidth="1"/>
    <col min="3" max="3" width="8" style="8" customWidth="1"/>
    <col min="4" max="4" width="14.85546875" style="8" customWidth="1"/>
    <col min="5" max="6" width="27.140625" style="8" customWidth="1"/>
    <col min="7" max="7" width="12.5703125" style="8" customWidth="1"/>
    <col min="8" max="8" width="7.5703125" style="8" customWidth="1"/>
    <col min="9" max="9" width="4.42578125" style="8" hidden="1" customWidth="1"/>
    <col min="10" max="10" width="1.140625" style="8" customWidth="1"/>
    <col min="11" max="16384" width="9.140625" style="8"/>
  </cols>
  <sheetData>
    <row r="1" spans="1:10" ht="15.75" thickBot="1">
      <c r="A1" s="296"/>
      <c r="B1" s="296"/>
      <c r="C1" s="296"/>
      <c r="D1" s="296"/>
      <c r="E1" s="296"/>
      <c r="F1" s="296"/>
      <c r="G1" s="296"/>
      <c r="H1" s="296"/>
    </row>
    <row r="2" spans="1:10" ht="29.25" thickBot="1">
      <c r="B2" s="365" t="s">
        <v>143</v>
      </c>
      <c r="C2" s="366"/>
      <c r="D2" s="366"/>
      <c r="E2" s="366"/>
      <c r="F2" s="366"/>
      <c r="G2" s="366"/>
      <c r="H2" s="367"/>
      <c r="I2" s="9"/>
      <c r="J2" s="9"/>
    </row>
    <row r="3" spans="1:10" ht="21">
      <c r="B3" s="10"/>
      <c r="C3" s="10"/>
      <c r="D3" s="10"/>
      <c r="E3" s="10"/>
      <c r="F3" s="10"/>
      <c r="G3" s="10"/>
      <c r="H3" s="10"/>
    </row>
    <row r="4" spans="1:10" ht="21">
      <c r="B4" s="368"/>
      <c r="C4" s="368"/>
      <c r="D4" s="368"/>
      <c r="E4" s="368"/>
      <c r="F4" s="368"/>
      <c r="G4" s="368"/>
      <c r="H4" s="368"/>
    </row>
    <row r="5" spans="1:10" ht="21">
      <c r="B5" s="11"/>
      <c r="C5" s="11"/>
      <c r="D5" s="11"/>
      <c r="E5" s="11"/>
      <c r="F5" s="11"/>
      <c r="G5" s="11"/>
      <c r="H5" s="11"/>
    </row>
    <row r="6" spans="1:10" ht="27">
      <c r="B6" s="11"/>
      <c r="C6" s="11"/>
      <c r="D6" s="11"/>
      <c r="E6" s="11"/>
      <c r="F6" s="11"/>
      <c r="G6" s="369"/>
      <c r="H6" s="369"/>
    </row>
    <row r="8" spans="1:10" ht="15.75" thickBot="1">
      <c r="B8" s="361"/>
      <c r="C8" s="361"/>
      <c r="D8" s="361"/>
      <c r="E8" s="361"/>
      <c r="F8" s="361"/>
      <c r="G8" s="361"/>
      <c r="H8" s="361"/>
    </row>
    <row r="9" spans="1:10" ht="27.75" thickBot="1">
      <c r="B9" s="353" t="s">
        <v>132</v>
      </c>
      <c r="C9" s="354"/>
      <c r="D9" s="354"/>
      <c r="E9" s="169" t="s">
        <v>191</v>
      </c>
      <c r="F9" s="170" t="s">
        <v>133</v>
      </c>
      <c r="G9" s="370"/>
      <c r="H9" s="371"/>
    </row>
    <row r="10" spans="1:10" ht="27.75" thickBot="1">
      <c r="B10" s="353" t="s">
        <v>134</v>
      </c>
      <c r="C10" s="354"/>
      <c r="D10" s="354"/>
      <c r="E10" s="169" t="s">
        <v>192</v>
      </c>
      <c r="F10" s="170" t="s">
        <v>135</v>
      </c>
      <c r="G10" s="355">
        <v>45025</v>
      </c>
      <c r="H10" s="356"/>
    </row>
    <row r="11" spans="1:10" ht="15.75" hidden="1" thickBot="1">
      <c r="F11" s="171"/>
      <c r="G11" s="172"/>
      <c r="H11" s="173"/>
    </row>
    <row r="12" spans="1:10" ht="15.75" thickBot="1">
      <c r="B12" s="357"/>
      <c r="C12" s="358"/>
      <c r="D12" s="358"/>
      <c r="E12" s="359"/>
      <c r="F12" s="171"/>
      <c r="G12" s="172"/>
      <c r="H12" s="173"/>
    </row>
    <row r="13" spans="1:10" ht="30.75" thickBot="1">
      <c r="B13" s="360"/>
      <c r="C13" s="361"/>
      <c r="D13" s="361"/>
      <c r="E13" s="362"/>
      <c r="F13" s="170" t="s">
        <v>136</v>
      </c>
      <c r="G13" s="363">
        <v>4300</v>
      </c>
      <c r="H13" s="364"/>
      <c r="I13" s="9"/>
      <c r="J13" s="9"/>
    </row>
    <row r="14" spans="1:10" ht="15.75" thickBot="1"/>
    <row r="15" spans="1:10" ht="38.25" thickBot="1">
      <c r="B15" s="174" t="s">
        <v>137</v>
      </c>
      <c r="C15" s="175" t="s">
        <v>138</v>
      </c>
      <c r="D15" s="174" t="s">
        <v>19</v>
      </c>
      <c r="E15" s="176" t="s">
        <v>139</v>
      </c>
      <c r="F15" s="176" t="s">
        <v>140</v>
      </c>
      <c r="G15" s="174" t="s">
        <v>141</v>
      </c>
      <c r="H15" s="177" t="s">
        <v>142</v>
      </c>
    </row>
    <row r="16" spans="1:10" ht="21.75" thickTop="1" thickBot="1">
      <c r="B16" s="178">
        <v>1</v>
      </c>
      <c r="C16" s="193" t="s">
        <v>127</v>
      </c>
      <c r="D16" s="180">
        <v>45142</v>
      </c>
      <c r="E16" s="190" t="s">
        <v>108</v>
      </c>
      <c r="F16" s="182" t="s">
        <v>92</v>
      </c>
      <c r="G16" s="183">
        <v>500</v>
      </c>
      <c r="H16" s="229"/>
      <c r="I16" s="228">
        <f t="shared" ref="I16:I24" si="0">G16</f>
        <v>500</v>
      </c>
    </row>
    <row r="17" spans="2:9" ht="21.75" thickTop="1" thickBot="1">
      <c r="B17" s="178">
        <v>2</v>
      </c>
      <c r="C17" s="193" t="s">
        <v>175</v>
      </c>
      <c r="D17" s="180">
        <v>45203</v>
      </c>
      <c r="E17" s="191" t="s">
        <v>87</v>
      </c>
      <c r="F17" s="182" t="s">
        <v>174</v>
      </c>
      <c r="G17" s="183">
        <v>500</v>
      </c>
      <c r="H17" s="229"/>
      <c r="I17" s="228">
        <f t="shared" si="0"/>
        <v>500</v>
      </c>
    </row>
    <row r="18" spans="2:9" ht="21.75" thickTop="1" thickBot="1">
      <c r="B18" s="178">
        <v>3</v>
      </c>
      <c r="C18" s="193" t="s">
        <v>176</v>
      </c>
      <c r="D18" s="180">
        <v>45051</v>
      </c>
      <c r="E18" s="190" t="s">
        <v>108</v>
      </c>
      <c r="F18" s="182" t="s">
        <v>183</v>
      </c>
      <c r="G18" s="183">
        <v>500</v>
      </c>
      <c r="H18" s="229"/>
      <c r="I18" s="228">
        <f t="shared" si="0"/>
        <v>500</v>
      </c>
    </row>
    <row r="19" spans="2:9" ht="21.75" thickTop="1" thickBot="1">
      <c r="B19" s="178">
        <v>4</v>
      </c>
      <c r="C19" s="193" t="s">
        <v>177</v>
      </c>
      <c r="D19" s="180">
        <v>45083</v>
      </c>
      <c r="E19" s="191" t="s">
        <v>87</v>
      </c>
      <c r="F19" s="182" t="s">
        <v>174</v>
      </c>
      <c r="G19" s="183">
        <v>500</v>
      </c>
      <c r="H19" s="229"/>
      <c r="I19" s="228">
        <f t="shared" si="0"/>
        <v>500</v>
      </c>
    </row>
    <row r="20" spans="2:9" ht="21.75" thickTop="1" thickBot="1">
      <c r="B20" s="178">
        <v>5</v>
      </c>
      <c r="C20" s="193" t="s">
        <v>178</v>
      </c>
      <c r="D20" s="180">
        <v>45266</v>
      </c>
      <c r="E20" s="190" t="s">
        <v>123</v>
      </c>
      <c r="F20" s="182" t="s">
        <v>173</v>
      </c>
      <c r="G20" s="183">
        <v>500</v>
      </c>
      <c r="H20" s="229"/>
      <c r="I20" s="228">
        <f t="shared" si="0"/>
        <v>500</v>
      </c>
    </row>
    <row r="21" spans="2:9" ht="21.75" thickTop="1" thickBot="1">
      <c r="B21" s="178">
        <v>6</v>
      </c>
      <c r="C21" s="193" t="s">
        <v>179</v>
      </c>
      <c r="D21" s="180" t="s">
        <v>185</v>
      </c>
      <c r="E21" s="190" t="s">
        <v>108</v>
      </c>
      <c r="F21" s="182" t="s">
        <v>183</v>
      </c>
      <c r="G21" s="183">
        <v>500</v>
      </c>
      <c r="H21" s="229"/>
      <c r="I21" s="228">
        <f t="shared" si="0"/>
        <v>500</v>
      </c>
    </row>
    <row r="22" spans="2:9" ht="21.75" thickTop="1" thickBot="1">
      <c r="B22" s="178">
        <v>7</v>
      </c>
      <c r="C22" s="193" t="s">
        <v>180</v>
      </c>
      <c r="D22" s="180" t="s">
        <v>186</v>
      </c>
      <c r="E22" s="191" t="s">
        <v>87</v>
      </c>
      <c r="F22" s="182" t="s">
        <v>174</v>
      </c>
      <c r="G22" s="183">
        <v>500</v>
      </c>
      <c r="H22" s="229"/>
      <c r="I22" s="228">
        <f t="shared" si="0"/>
        <v>500</v>
      </c>
    </row>
    <row r="23" spans="2:9" ht="21.75" thickTop="1" thickBot="1">
      <c r="B23" s="178">
        <v>8</v>
      </c>
      <c r="C23" s="193" t="s">
        <v>181</v>
      </c>
      <c r="D23" s="180" t="s">
        <v>187</v>
      </c>
      <c r="E23" s="191" t="s">
        <v>128</v>
      </c>
      <c r="F23" s="182" t="s">
        <v>184</v>
      </c>
      <c r="G23" s="183">
        <v>300</v>
      </c>
      <c r="H23" s="229"/>
      <c r="I23" s="228">
        <f t="shared" si="0"/>
        <v>300</v>
      </c>
    </row>
    <row r="24" spans="2:9" ht="21.75" thickTop="1" thickBot="1">
      <c r="B24" s="178">
        <v>9</v>
      </c>
      <c r="C24" s="193" t="s">
        <v>182</v>
      </c>
      <c r="D24" s="180" t="s">
        <v>188</v>
      </c>
      <c r="E24" s="191" t="s">
        <v>109</v>
      </c>
      <c r="F24" s="182" t="s">
        <v>189</v>
      </c>
      <c r="G24" s="183">
        <v>500</v>
      </c>
      <c r="H24" s="229"/>
      <c r="I24" s="228">
        <f t="shared" si="0"/>
        <v>500</v>
      </c>
    </row>
    <row r="25" spans="2:9" ht="21" thickBot="1">
      <c r="B25" s="178"/>
      <c r="C25" s="193"/>
      <c r="D25" s="180"/>
      <c r="E25" s="190"/>
      <c r="F25" s="182"/>
      <c r="G25" s="183"/>
      <c r="H25" s="187"/>
    </row>
    <row r="26" spans="2:9" ht="21" thickBot="1">
      <c r="B26" s="178"/>
      <c r="C26" s="193"/>
      <c r="D26" s="180"/>
      <c r="E26" s="191"/>
      <c r="F26" s="182"/>
      <c r="G26" s="183"/>
      <c r="H26" s="188"/>
    </row>
    <row r="27" spans="2:9" ht="21" thickBot="1">
      <c r="B27" s="178"/>
      <c r="C27" s="193"/>
      <c r="D27" s="180"/>
      <c r="E27" s="190"/>
      <c r="F27" s="182"/>
      <c r="G27" s="183"/>
      <c r="H27" s="188"/>
    </row>
    <row r="28" spans="2:9" ht="21" thickBot="1">
      <c r="B28" s="178"/>
      <c r="C28" s="186"/>
      <c r="D28" s="180"/>
      <c r="E28" s="181"/>
      <c r="F28" s="182"/>
      <c r="G28" s="227">
        <f>SUM(G16:G27)</f>
        <v>4300</v>
      </c>
      <c r="H28" s="188"/>
    </row>
  </sheetData>
  <mergeCells count="11">
    <mergeCell ref="B10:D10"/>
    <mergeCell ref="G10:H10"/>
    <mergeCell ref="B12:E13"/>
    <mergeCell ref="G13:H13"/>
    <mergeCell ref="A1:H1"/>
    <mergeCell ref="B2:H2"/>
    <mergeCell ref="B4:H4"/>
    <mergeCell ref="G6:H6"/>
    <mergeCell ref="B8:H8"/>
    <mergeCell ref="B9:D9"/>
    <mergeCell ref="G9:H9"/>
  </mergeCells>
  <printOptions horizontalCentered="1"/>
  <pageMargins left="0" right="0" top="0" bottom="0" header="0" footer="0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23" workbookViewId="0">
      <selection activeCell="A3" sqref="A3:H34"/>
    </sheetView>
  </sheetViews>
  <sheetFormatPr defaultRowHeight="15"/>
  <cols>
    <col min="1" max="1" width="0.7109375" style="8" customWidth="1"/>
    <col min="2" max="2" width="4.7109375" style="8" customWidth="1"/>
    <col min="3" max="3" width="8" style="8" customWidth="1"/>
    <col min="4" max="4" width="14.85546875" style="8" customWidth="1"/>
    <col min="5" max="6" width="27.140625" style="8" customWidth="1"/>
    <col min="7" max="7" width="12.5703125" style="8" customWidth="1"/>
    <col min="8" max="8" width="7.5703125" style="8" customWidth="1"/>
    <col min="9" max="9" width="4.42578125" style="8" hidden="1" customWidth="1"/>
    <col min="10" max="10" width="1.140625" style="8" customWidth="1"/>
    <col min="11" max="16384" width="9.140625" style="8"/>
  </cols>
  <sheetData>
    <row r="1" spans="1:10" ht="15.75" thickBot="1">
      <c r="A1" s="296"/>
      <c r="B1" s="296"/>
      <c r="C1" s="296"/>
      <c r="D1" s="296"/>
      <c r="E1" s="296"/>
      <c r="F1" s="296"/>
      <c r="G1" s="296"/>
      <c r="H1" s="296"/>
    </row>
    <row r="2" spans="1:10" ht="29.25" thickBot="1">
      <c r="B2" s="365" t="s">
        <v>131</v>
      </c>
      <c r="C2" s="366"/>
      <c r="D2" s="366"/>
      <c r="E2" s="366"/>
      <c r="F2" s="366"/>
      <c r="G2" s="366"/>
      <c r="H2" s="367"/>
      <c r="I2" s="9"/>
      <c r="J2" s="9"/>
    </row>
    <row r="3" spans="1:10" ht="21">
      <c r="B3" s="10"/>
      <c r="C3" s="10"/>
      <c r="D3" s="10"/>
      <c r="E3" s="10"/>
      <c r="F3" s="10"/>
      <c r="G3" s="10"/>
      <c r="H3" s="10"/>
    </row>
    <row r="4" spans="1:10" ht="21">
      <c r="B4" s="368"/>
      <c r="C4" s="368"/>
      <c r="D4" s="368"/>
      <c r="E4" s="368"/>
      <c r="F4" s="368"/>
      <c r="G4" s="368"/>
      <c r="H4" s="368"/>
    </row>
    <row r="5" spans="1:10" ht="21">
      <c r="B5" s="11"/>
      <c r="C5" s="11"/>
      <c r="D5" s="11"/>
      <c r="E5" s="11"/>
      <c r="F5" s="11"/>
      <c r="G5" s="11"/>
      <c r="H5" s="11"/>
    </row>
    <row r="6" spans="1:10" ht="27">
      <c r="B6" s="11"/>
      <c r="C6" s="11"/>
      <c r="D6" s="11"/>
      <c r="E6" s="11"/>
      <c r="F6" s="11"/>
      <c r="G6" s="369"/>
      <c r="H6" s="369"/>
    </row>
    <row r="8" spans="1:10" ht="15.75" thickBot="1">
      <c r="B8" s="361"/>
      <c r="C8" s="361"/>
      <c r="D8" s="361"/>
      <c r="E8" s="361"/>
      <c r="F8" s="361"/>
      <c r="G8" s="361"/>
      <c r="H8" s="361"/>
    </row>
    <row r="9" spans="1:10" ht="27.75" thickBot="1">
      <c r="B9" s="353" t="s">
        <v>132</v>
      </c>
      <c r="C9" s="354"/>
      <c r="D9" s="354"/>
      <c r="E9" s="169" t="s">
        <v>249</v>
      </c>
      <c r="F9" s="170" t="s">
        <v>133</v>
      </c>
      <c r="G9" s="370"/>
      <c r="H9" s="371"/>
    </row>
    <row r="10" spans="1:10" ht="27.75" thickBot="1">
      <c r="B10" s="353" t="s">
        <v>134</v>
      </c>
      <c r="C10" s="354"/>
      <c r="D10" s="354"/>
      <c r="E10" s="169" t="s">
        <v>250</v>
      </c>
      <c r="F10" s="170" t="s">
        <v>135</v>
      </c>
      <c r="G10" s="355">
        <v>45660</v>
      </c>
      <c r="H10" s="356"/>
    </row>
    <row r="11" spans="1:10" ht="15.75" hidden="1" thickBot="1">
      <c r="F11" s="171"/>
      <c r="G11" s="172"/>
      <c r="H11" s="173"/>
    </row>
    <row r="12" spans="1:10" ht="15.75" thickBot="1">
      <c r="B12" s="357"/>
      <c r="C12" s="358"/>
      <c r="D12" s="358"/>
      <c r="E12" s="359"/>
      <c r="F12" s="171"/>
      <c r="G12" s="172"/>
      <c r="H12" s="173"/>
    </row>
    <row r="13" spans="1:10" ht="30.75" thickBot="1">
      <c r="B13" s="360"/>
      <c r="C13" s="361"/>
      <c r="D13" s="361"/>
      <c r="E13" s="362"/>
      <c r="F13" s="170" t="s">
        <v>136</v>
      </c>
      <c r="G13" s="363">
        <v>500</v>
      </c>
      <c r="H13" s="364"/>
      <c r="I13" s="9"/>
      <c r="J13" s="9"/>
    </row>
    <row r="14" spans="1:10" ht="15.75" thickBot="1"/>
    <row r="15" spans="1:10" ht="38.25" thickBot="1">
      <c r="B15" s="174" t="s">
        <v>137</v>
      </c>
      <c r="C15" s="175" t="s">
        <v>138</v>
      </c>
      <c r="D15" s="174" t="s">
        <v>19</v>
      </c>
      <c r="E15" s="176" t="s">
        <v>139</v>
      </c>
      <c r="F15" s="176" t="s">
        <v>140</v>
      </c>
      <c r="G15" s="174" t="s">
        <v>141</v>
      </c>
      <c r="H15" s="177" t="s">
        <v>142</v>
      </c>
    </row>
    <row r="16" spans="1:10" ht="21.75" thickTop="1" thickBot="1">
      <c r="B16" s="178">
        <v>1</v>
      </c>
      <c r="C16" s="191" t="s">
        <v>245</v>
      </c>
      <c r="D16" s="180">
        <v>45660</v>
      </c>
      <c r="E16" s="189" t="s">
        <v>128</v>
      </c>
      <c r="F16" s="189" t="s">
        <v>243</v>
      </c>
      <c r="G16" s="183">
        <v>500</v>
      </c>
      <c r="H16" s="229"/>
      <c r="I16" s="228">
        <f t="shared" ref="I16" si="0">G16</f>
        <v>500</v>
      </c>
    </row>
    <row r="17" spans="2:9" ht="21.75" thickTop="1" thickBot="1">
      <c r="B17" s="178">
        <v>2</v>
      </c>
      <c r="C17" s="191"/>
      <c r="D17" s="180"/>
      <c r="E17" s="189"/>
      <c r="F17" s="189"/>
      <c r="G17" s="183"/>
      <c r="H17" s="183"/>
      <c r="I17" s="228">
        <f>G17</f>
        <v>0</v>
      </c>
    </row>
    <row r="18" spans="2:9" ht="21" thickBot="1">
      <c r="B18" s="178"/>
      <c r="C18" s="191"/>
      <c r="D18" s="180"/>
      <c r="E18" s="185"/>
      <c r="F18" s="182"/>
      <c r="G18" s="183"/>
      <c r="H18" s="184"/>
    </row>
    <row r="19" spans="2:9" ht="21.75" thickBot="1">
      <c r="B19" s="178"/>
      <c r="C19" s="179"/>
      <c r="D19" s="180"/>
      <c r="E19" s="185"/>
      <c r="F19" s="182"/>
      <c r="G19" s="183"/>
      <c r="H19" s="184"/>
    </row>
    <row r="20" spans="2:9" ht="21.75" thickBot="1">
      <c r="B20" s="178"/>
      <c r="C20" s="179"/>
      <c r="D20" s="180"/>
      <c r="E20" s="181"/>
      <c r="F20" s="182"/>
      <c r="G20" s="183"/>
      <c r="H20" s="184"/>
    </row>
    <row r="21" spans="2:9" ht="21.75" thickBot="1">
      <c r="B21" s="178"/>
      <c r="C21" s="179"/>
      <c r="D21" s="180"/>
      <c r="E21" s="185"/>
      <c r="F21" s="182"/>
      <c r="G21" s="183"/>
      <c r="H21" s="184"/>
    </row>
    <row r="22" spans="2:9" ht="21.75" thickBot="1">
      <c r="B22" s="178"/>
      <c r="C22" s="179"/>
      <c r="D22" s="180"/>
      <c r="E22" s="181"/>
      <c r="F22" s="182"/>
      <c r="G22" s="183"/>
      <c r="H22" s="184"/>
    </row>
    <row r="23" spans="2:9" ht="21.75" thickBot="1">
      <c r="B23" s="178"/>
      <c r="C23" s="179"/>
      <c r="D23" s="180"/>
      <c r="E23" s="185"/>
      <c r="F23" s="182"/>
      <c r="G23" s="183"/>
      <c r="H23" s="184"/>
    </row>
    <row r="24" spans="2:9" ht="21.75" thickBot="1">
      <c r="B24" s="178"/>
      <c r="C24" s="179"/>
      <c r="D24" s="180"/>
      <c r="E24" s="181"/>
      <c r="F24" s="182"/>
      <c r="G24" s="183"/>
      <c r="H24" s="184"/>
    </row>
    <row r="25" spans="2:9" ht="21" thickBot="1">
      <c r="B25" s="178"/>
      <c r="C25" s="186"/>
      <c r="D25" s="180"/>
      <c r="E25" s="185"/>
      <c r="F25" s="182"/>
      <c r="G25" s="183"/>
      <c r="H25" s="187"/>
    </row>
    <row r="26" spans="2:9" ht="21" thickBot="1">
      <c r="B26" s="178"/>
      <c r="C26" s="186"/>
      <c r="D26" s="180"/>
      <c r="E26" s="181"/>
      <c r="F26" s="182"/>
      <c r="G26" s="183"/>
      <c r="H26" s="188"/>
    </row>
    <row r="27" spans="2:9" ht="21" thickBot="1">
      <c r="B27" s="178"/>
      <c r="C27" s="186"/>
      <c r="D27" s="180"/>
      <c r="E27" s="185"/>
      <c r="F27" s="182"/>
      <c r="G27" s="183"/>
      <c r="H27" s="188"/>
    </row>
    <row r="28" spans="2:9" ht="21" thickBot="1">
      <c r="B28" s="178"/>
      <c r="C28" s="186"/>
      <c r="D28" s="180"/>
      <c r="E28" s="181"/>
      <c r="F28" s="182"/>
      <c r="G28" s="183">
        <f>SUM(G16:G27)</f>
        <v>500</v>
      </c>
      <c r="H28" s="188"/>
    </row>
  </sheetData>
  <mergeCells count="11">
    <mergeCell ref="B10:D10"/>
    <mergeCell ref="G10:H10"/>
    <mergeCell ref="B12:E13"/>
    <mergeCell ref="G13:H13"/>
    <mergeCell ref="A1:H1"/>
    <mergeCell ref="B2:H2"/>
    <mergeCell ref="B4:H4"/>
    <mergeCell ref="G6:H6"/>
    <mergeCell ref="B8:H8"/>
    <mergeCell ref="B9:D9"/>
    <mergeCell ref="G9:H9"/>
  </mergeCells>
  <printOptions horizontalCentered="1"/>
  <pageMargins left="0" right="0" top="0" bottom="0" header="0" footer="0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topLeftCell="A15" workbookViewId="0">
      <selection activeCell="K36" sqref="K36"/>
    </sheetView>
  </sheetViews>
  <sheetFormatPr defaultRowHeight="15"/>
  <cols>
    <col min="1" max="1" width="3.42578125" customWidth="1"/>
    <col min="2" max="2" width="21.5703125" customWidth="1"/>
    <col min="3" max="3" width="10.42578125" customWidth="1"/>
    <col min="4" max="4" width="11.7109375" customWidth="1"/>
    <col min="5" max="5" width="11.85546875" customWidth="1"/>
    <col min="6" max="6" width="12" customWidth="1"/>
    <col min="7" max="7" width="7.140625" customWidth="1"/>
    <col min="8" max="8" width="12" customWidth="1"/>
    <col min="9" max="9" width="11.85546875" customWidth="1"/>
  </cols>
  <sheetData>
    <row r="1" spans="1:16" ht="15.75" thickBot="1"/>
    <row r="2" spans="1:16" ht="32.25" thickBot="1">
      <c r="A2" s="388" t="s">
        <v>147</v>
      </c>
      <c r="B2" s="389"/>
      <c r="C2" s="389"/>
      <c r="D2" s="389"/>
      <c r="E2" s="389"/>
      <c r="F2" s="389"/>
      <c r="G2" s="389"/>
      <c r="H2" s="389"/>
      <c r="I2" s="390"/>
    </row>
    <row r="3" spans="1:16" ht="24.75" thickBot="1">
      <c r="A3" s="391" t="s">
        <v>148</v>
      </c>
      <c r="B3" s="392"/>
      <c r="C3" s="392"/>
      <c r="D3" s="392"/>
      <c r="E3" s="392"/>
      <c r="F3" s="392"/>
      <c r="G3" s="392"/>
      <c r="H3" s="392"/>
      <c r="I3" s="393"/>
    </row>
    <row r="4" spans="1:16" ht="24.75" thickBot="1">
      <c r="A4" s="394" t="s">
        <v>149</v>
      </c>
      <c r="B4" s="395"/>
      <c r="C4" s="395"/>
      <c r="D4" s="395"/>
      <c r="E4" s="395"/>
      <c r="F4" s="395"/>
      <c r="G4" s="395"/>
      <c r="H4" s="395"/>
      <c r="I4" s="396"/>
    </row>
    <row r="5" spans="1:16" ht="24.75" thickBot="1">
      <c r="A5" s="397" t="s">
        <v>198</v>
      </c>
      <c r="B5" s="398"/>
      <c r="C5" s="398"/>
      <c r="D5" s="398"/>
      <c r="E5" s="398"/>
      <c r="F5" s="398"/>
      <c r="G5" s="398"/>
      <c r="H5" s="398"/>
      <c r="I5" s="399"/>
    </row>
    <row r="6" spans="1:16" ht="15.75" thickBot="1">
      <c r="A6" s="194"/>
      <c r="B6" s="400"/>
      <c r="C6" s="400"/>
      <c r="D6" s="400"/>
      <c r="E6" s="400"/>
      <c r="F6" s="400"/>
      <c r="G6" s="400"/>
      <c r="H6" s="400"/>
      <c r="I6" s="195"/>
    </row>
    <row r="7" spans="1:16" s="8" customFormat="1" ht="39" thickBot="1">
      <c r="A7" s="300" t="s">
        <v>0</v>
      </c>
      <c r="B7" s="301"/>
      <c r="C7" s="408" t="s">
        <v>257</v>
      </c>
      <c r="D7" s="408"/>
      <c r="E7" s="408"/>
      <c r="F7" s="409" t="s">
        <v>13</v>
      </c>
      <c r="G7" s="409"/>
      <c r="H7" s="410">
        <v>24160204204</v>
      </c>
      <c r="I7" s="410"/>
      <c r="J7" s="9"/>
    </row>
    <row r="8" spans="1:16" s="8" customFormat="1" ht="21.75" thickBot="1">
      <c r="A8"/>
      <c r="B8" s="10"/>
      <c r="C8" s="10"/>
      <c r="D8" s="10"/>
      <c r="E8" s="10"/>
      <c r="F8" s="10"/>
      <c r="G8" s="10"/>
      <c r="H8" s="10"/>
    </row>
    <row r="9" spans="1:16" s="8" customFormat="1" ht="33" thickBot="1">
      <c r="A9" s="411" t="s">
        <v>12</v>
      </c>
      <c r="B9" s="411"/>
      <c r="C9" s="412" t="s">
        <v>257</v>
      </c>
      <c r="D9" s="413"/>
      <c r="E9" s="414"/>
      <c r="F9" s="415" t="s">
        <v>14</v>
      </c>
      <c r="G9" s="415"/>
      <c r="H9" s="416" t="s">
        <v>15</v>
      </c>
      <c r="I9" s="416"/>
    </row>
    <row r="10" spans="1:16" ht="24" thickBot="1">
      <c r="A10" s="417" t="s">
        <v>150</v>
      </c>
      <c r="B10" s="418"/>
      <c r="C10" s="419" t="s">
        <v>258</v>
      </c>
      <c r="D10" s="419"/>
      <c r="E10" s="419"/>
      <c r="F10" s="420"/>
      <c r="G10" s="421"/>
      <c r="H10" s="422"/>
      <c r="I10" s="422"/>
      <c r="K10" s="196"/>
    </row>
    <row r="12" spans="1:16">
      <c r="A12" s="382" t="s">
        <v>137</v>
      </c>
      <c r="B12" s="382" t="s">
        <v>21</v>
      </c>
      <c r="C12" s="383" t="s">
        <v>151</v>
      </c>
      <c r="D12" s="385" t="s">
        <v>152</v>
      </c>
      <c r="E12" s="382" t="s">
        <v>11</v>
      </c>
      <c r="F12" s="382" t="s">
        <v>153</v>
      </c>
      <c r="G12" s="378" t="s">
        <v>8</v>
      </c>
      <c r="H12" s="378" t="s">
        <v>154</v>
      </c>
      <c r="I12" s="380" t="s">
        <v>207</v>
      </c>
    </row>
    <row r="13" spans="1:16" ht="51" customHeight="1">
      <c r="A13" s="382"/>
      <c r="B13" s="382"/>
      <c r="C13" s="384"/>
      <c r="D13" s="386"/>
      <c r="E13" s="387"/>
      <c r="F13" s="387"/>
      <c r="G13" s="379"/>
      <c r="H13" s="379"/>
      <c r="I13" s="381"/>
    </row>
    <row r="14" spans="1:16" ht="23.25">
      <c r="A14" s="197">
        <v>1</v>
      </c>
      <c r="B14" s="198" t="s">
        <v>155</v>
      </c>
      <c r="C14" s="225">
        <v>1193</v>
      </c>
      <c r="D14" s="225">
        <v>449</v>
      </c>
      <c r="E14" s="225">
        <f>C14+D14</f>
        <v>1642</v>
      </c>
      <c r="F14" s="225">
        <v>0</v>
      </c>
      <c r="G14" s="225">
        <v>0</v>
      </c>
      <c r="H14" s="225">
        <f>F14+G14</f>
        <v>0</v>
      </c>
      <c r="I14" s="225">
        <f>E14-H14</f>
        <v>1642</v>
      </c>
      <c r="O14">
        <v>3600</v>
      </c>
    </row>
    <row r="15" spans="1:16" ht="23.25">
      <c r="A15" s="197">
        <v>2</v>
      </c>
      <c r="B15" s="125" t="s">
        <v>96</v>
      </c>
      <c r="C15" s="225">
        <v>0</v>
      </c>
      <c r="D15" s="225">
        <v>25200</v>
      </c>
      <c r="E15" s="225">
        <f t="shared" ref="E15:E22" si="0">C15+D15</f>
        <v>25200</v>
      </c>
      <c r="F15" s="225">
        <v>9000</v>
      </c>
      <c r="G15" s="225">
        <v>0</v>
      </c>
      <c r="H15" s="225">
        <f t="shared" ref="H15:H22" si="1">F15+G15</f>
        <v>9000</v>
      </c>
      <c r="I15" s="225">
        <f t="shared" ref="I15:I22" si="2">E15-H15</f>
        <v>16200</v>
      </c>
      <c r="O15">
        <v>5400</v>
      </c>
    </row>
    <row r="16" spans="1:16" ht="23.25">
      <c r="A16" s="197">
        <v>3</v>
      </c>
      <c r="B16" s="125" t="s">
        <v>97</v>
      </c>
      <c r="C16" s="225">
        <v>0</v>
      </c>
      <c r="D16" s="225">
        <v>1000</v>
      </c>
      <c r="E16" s="225">
        <f t="shared" si="0"/>
        <v>1000</v>
      </c>
      <c r="F16" s="225">
        <v>1000</v>
      </c>
      <c r="G16" s="225">
        <v>0</v>
      </c>
      <c r="H16" s="225">
        <f t="shared" si="1"/>
        <v>1000</v>
      </c>
      <c r="I16" s="225">
        <f t="shared" si="2"/>
        <v>0</v>
      </c>
      <c r="O16">
        <v>1800</v>
      </c>
      <c r="P16">
        <f>O14+O15</f>
        <v>9000</v>
      </c>
    </row>
    <row r="17" spans="1:15" ht="23.25">
      <c r="A17" s="197">
        <v>4</v>
      </c>
      <c r="B17" s="125" t="s">
        <v>91</v>
      </c>
      <c r="C17" s="225">
        <v>0</v>
      </c>
      <c r="D17" s="225">
        <v>1040</v>
      </c>
      <c r="E17" s="225">
        <f t="shared" si="0"/>
        <v>1040</v>
      </c>
      <c r="F17" s="225">
        <v>1040</v>
      </c>
      <c r="G17" s="225">
        <v>0</v>
      </c>
      <c r="H17" s="225">
        <f t="shared" si="1"/>
        <v>1040</v>
      </c>
      <c r="I17" s="225">
        <f t="shared" si="2"/>
        <v>0</v>
      </c>
      <c r="O17">
        <v>14400</v>
      </c>
    </row>
    <row r="18" spans="1:15" ht="23.25">
      <c r="A18" s="197">
        <v>5</v>
      </c>
      <c r="B18" s="125" t="s">
        <v>98</v>
      </c>
      <c r="C18" s="225">
        <v>0</v>
      </c>
      <c r="D18" s="225">
        <v>10000</v>
      </c>
      <c r="E18" s="225">
        <f t="shared" si="0"/>
        <v>10000</v>
      </c>
      <c r="F18" s="225">
        <v>10000</v>
      </c>
      <c r="G18" s="225">
        <v>0</v>
      </c>
      <c r="H18" s="225">
        <f t="shared" si="1"/>
        <v>10000</v>
      </c>
      <c r="I18" s="225">
        <f t="shared" si="2"/>
        <v>0</v>
      </c>
      <c r="O18">
        <f>SUM(O14:O17)</f>
        <v>25200</v>
      </c>
    </row>
    <row r="19" spans="1:15" ht="23.25">
      <c r="A19" s="197">
        <v>6</v>
      </c>
      <c r="B19" s="125" t="s">
        <v>99</v>
      </c>
      <c r="C19" s="225">
        <v>0</v>
      </c>
      <c r="D19" s="225">
        <v>1400</v>
      </c>
      <c r="E19" s="225">
        <f t="shared" si="0"/>
        <v>1400</v>
      </c>
      <c r="F19" s="225">
        <v>1400</v>
      </c>
      <c r="G19" s="225">
        <v>0</v>
      </c>
      <c r="H19" s="225">
        <f t="shared" si="1"/>
        <v>1400</v>
      </c>
      <c r="I19" s="225">
        <f t="shared" si="2"/>
        <v>0</v>
      </c>
    </row>
    <row r="20" spans="1:15" ht="23.25">
      <c r="A20" s="197">
        <v>7</v>
      </c>
      <c r="B20" s="125" t="s">
        <v>100</v>
      </c>
      <c r="C20" s="225">
        <v>0</v>
      </c>
      <c r="D20" s="225">
        <v>500</v>
      </c>
      <c r="E20" s="225">
        <f t="shared" si="0"/>
        <v>500</v>
      </c>
      <c r="F20" s="225">
        <v>500</v>
      </c>
      <c r="G20" s="225">
        <v>0</v>
      </c>
      <c r="H20" s="225">
        <f t="shared" si="1"/>
        <v>500</v>
      </c>
      <c r="I20" s="225">
        <f t="shared" si="2"/>
        <v>0</v>
      </c>
    </row>
    <row r="21" spans="1:15" ht="23.25">
      <c r="A21" s="197">
        <v>8</v>
      </c>
      <c r="B21" s="125" t="s">
        <v>156</v>
      </c>
      <c r="C21" s="225">
        <v>0</v>
      </c>
      <c r="D21" s="225">
        <v>500</v>
      </c>
      <c r="E21" s="225">
        <f t="shared" si="0"/>
        <v>500</v>
      </c>
      <c r="F21" s="225">
        <v>500</v>
      </c>
      <c r="G21" s="225">
        <v>0</v>
      </c>
      <c r="H21" s="225">
        <f t="shared" si="1"/>
        <v>500</v>
      </c>
      <c r="I21" s="225">
        <f t="shared" si="2"/>
        <v>0</v>
      </c>
      <c r="O21">
        <v>30837</v>
      </c>
    </row>
    <row r="22" spans="1:15" ht="23.25">
      <c r="A22" s="197">
        <v>9</v>
      </c>
      <c r="B22" s="125" t="s">
        <v>103</v>
      </c>
      <c r="C22" s="225">
        <v>0</v>
      </c>
      <c r="D22" s="225">
        <v>29225</v>
      </c>
      <c r="E22" s="225">
        <f t="shared" si="0"/>
        <v>29225</v>
      </c>
      <c r="F22" s="225">
        <v>29225</v>
      </c>
      <c r="G22" s="225">
        <v>0</v>
      </c>
      <c r="H22" s="225">
        <f t="shared" si="1"/>
        <v>29225</v>
      </c>
      <c r="I22" s="225">
        <f t="shared" si="2"/>
        <v>0</v>
      </c>
      <c r="O22">
        <v>13000</v>
      </c>
    </row>
    <row r="23" spans="1:15" ht="23.25">
      <c r="A23" s="197"/>
      <c r="B23" s="199"/>
      <c r="C23" s="225"/>
      <c r="D23" s="225"/>
      <c r="E23" s="225"/>
      <c r="F23" s="225"/>
      <c r="G23" s="225"/>
      <c r="H23" s="225"/>
      <c r="I23" s="225"/>
      <c r="K23" s="136">
        <f>C24+D24</f>
        <v>70507</v>
      </c>
      <c r="O23">
        <f>SUM(O21:O22)</f>
        <v>43837</v>
      </c>
    </row>
    <row r="24" spans="1:15" ht="18.75">
      <c r="A24" s="200"/>
      <c r="B24" s="201" t="s">
        <v>11</v>
      </c>
      <c r="C24" s="226">
        <f t="shared" ref="C24:I24" si="3">SUM(C14:C23)</f>
        <v>1193</v>
      </c>
      <c r="D24" s="226">
        <f t="shared" si="3"/>
        <v>69314</v>
      </c>
      <c r="E24" s="226">
        <f>SUM(E14:E23)</f>
        <v>70507</v>
      </c>
      <c r="F24" s="226">
        <f t="shared" si="3"/>
        <v>52665</v>
      </c>
      <c r="G24" s="226">
        <f t="shared" si="3"/>
        <v>0</v>
      </c>
      <c r="H24" s="226">
        <f t="shared" si="3"/>
        <v>52665</v>
      </c>
      <c r="I24" s="226">
        <f t="shared" si="3"/>
        <v>17842</v>
      </c>
      <c r="K24" s="136">
        <f>E24-H24</f>
        <v>17842</v>
      </c>
    </row>
    <row r="25" spans="1:15" ht="15.75" thickBot="1"/>
    <row r="26" spans="1:15" ht="21">
      <c r="A26" s="401" t="s">
        <v>338</v>
      </c>
      <c r="B26" s="402"/>
      <c r="C26" s="402"/>
      <c r="D26" s="402"/>
      <c r="E26" s="402"/>
      <c r="F26" s="402"/>
      <c r="G26" s="402"/>
      <c r="H26" s="402"/>
      <c r="I26" s="403"/>
      <c r="J26" s="280"/>
    </row>
    <row r="27" spans="1:15" ht="23.25" thickBot="1">
      <c r="A27" s="404" t="s">
        <v>251</v>
      </c>
      <c r="B27" s="405"/>
      <c r="C27" s="428">
        <f>C24</f>
        <v>1193</v>
      </c>
      <c r="D27" s="429"/>
      <c r="E27" s="425" t="s">
        <v>256</v>
      </c>
      <c r="F27" s="425"/>
      <c r="G27" s="425"/>
      <c r="H27" s="428">
        <f>D24</f>
        <v>69314</v>
      </c>
      <c r="I27" s="429"/>
      <c r="O27" s="136"/>
    </row>
    <row r="28" spans="1:15" ht="24" thickTop="1" thickBot="1">
      <c r="A28" s="406" t="s">
        <v>252</v>
      </c>
      <c r="B28" s="407"/>
      <c r="C28" s="426">
        <f>E24</f>
        <v>70507</v>
      </c>
      <c r="D28" s="427"/>
      <c r="E28" s="425" t="s">
        <v>253</v>
      </c>
      <c r="F28" s="425"/>
      <c r="G28" s="425"/>
      <c r="H28" s="426">
        <f>H24</f>
        <v>52665</v>
      </c>
      <c r="I28" s="427"/>
    </row>
    <row r="29" spans="1:15" ht="24" thickTop="1" thickBot="1">
      <c r="A29" s="406" t="s">
        <v>254</v>
      </c>
      <c r="B29" s="407"/>
      <c r="C29" s="407"/>
      <c r="D29" s="407"/>
      <c r="E29" s="407"/>
      <c r="F29" s="426">
        <f>I24</f>
        <v>17842</v>
      </c>
      <c r="G29" s="427"/>
      <c r="H29" s="423" t="s">
        <v>339</v>
      </c>
      <c r="I29" s="424"/>
    </row>
    <row r="30" spans="1:15" ht="22.5" thickTop="1" thickBot="1">
      <c r="A30" s="281" t="s">
        <v>255</v>
      </c>
      <c r="B30" s="282"/>
      <c r="C30" s="282"/>
      <c r="D30" s="282"/>
      <c r="E30" s="282"/>
      <c r="F30" s="282"/>
      <c r="G30" s="282"/>
      <c r="H30" s="282"/>
      <c r="I30" s="283"/>
    </row>
  </sheetData>
  <mergeCells count="38">
    <mergeCell ref="H29:I29"/>
    <mergeCell ref="E27:G27"/>
    <mergeCell ref="E28:G28"/>
    <mergeCell ref="A29:E29"/>
    <mergeCell ref="F29:G29"/>
    <mergeCell ref="C27:D27"/>
    <mergeCell ref="H27:I27"/>
    <mergeCell ref="C28:D28"/>
    <mergeCell ref="H28:I28"/>
    <mergeCell ref="A26:I26"/>
    <mergeCell ref="A27:B27"/>
    <mergeCell ref="A28:B28"/>
    <mergeCell ref="A7:B7"/>
    <mergeCell ref="C7:E7"/>
    <mergeCell ref="F7:G7"/>
    <mergeCell ref="H7:I7"/>
    <mergeCell ref="A9:B9"/>
    <mergeCell ref="C9:E9"/>
    <mergeCell ref="F9:G9"/>
    <mergeCell ref="H9:I9"/>
    <mergeCell ref="A10:B10"/>
    <mergeCell ref="C10:E10"/>
    <mergeCell ref="F10:G10"/>
    <mergeCell ref="H10:I10"/>
    <mergeCell ref="G12:G13"/>
    <mergeCell ref="A2:I2"/>
    <mergeCell ref="A3:I3"/>
    <mergeCell ref="A4:I4"/>
    <mergeCell ref="A5:I5"/>
    <mergeCell ref="B6:H6"/>
    <mergeCell ref="H12:H13"/>
    <mergeCell ref="I12:I13"/>
    <mergeCell ref="A12:A13"/>
    <mergeCell ref="B12:B13"/>
    <mergeCell ref="C12:C13"/>
    <mergeCell ref="D12:D13"/>
    <mergeCell ref="E12:E13"/>
    <mergeCell ref="F12:F13"/>
  </mergeCells>
  <printOptions horizontalCentered="1"/>
  <pageMargins left="0" right="0" top="0" bottom="0" header="0" footer="0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9" workbookViewId="0">
      <selection activeCell="M36" sqref="M36"/>
    </sheetView>
  </sheetViews>
  <sheetFormatPr defaultRowHeight="15"/>
  <cols>
    <col min="1" max="1" width="8.85546875" customWidth="1"/>
    <col min="2" max="2" width="12.85546875" customWidth="1"/>
    <col min="3" max="3" width="44.140625" customWidth="1"/>
    <col min="4" max="4" width="16.7109375" customWidth="1"/>
    <col min="5" max="5" width="10.28515625" customWidth="1"/>
    <col min="6" max="6" width="9.5703125" customWidth="1"/>
  </cols>
  <sheetData>
    <row r="1" spans="1:7" ht="15.75" thickBot="1"/>
    <row r="2" spans="1:7" ht="30" thickBot="1">
      <c r="A2" s="445" t="s">
        <v>157</v>
      </c>
      <c r="B2" s="446"/>
      <c r="C2" s="446"/>
      <c r="D2" s="446"/>
      <c r="E2" s="446"/>
      <c r="F2" s="447"/>
    </row>
    <row r="3" spans="1:7" ht="24.75" thickBot="1">
      <c r="A3" s="448" t="s">
        <v>148</v>
      </c>
      <c r="B3" s="449"/>
      <c r="C3" s="449"/>
      <c r="D3" s="449"/>
      <c r="E3" s="449"/>
      <c r="F3" s="450"/>
    </row>
    <row r="4" spans="1:7" ht="24.75" thickBot="1">
      <c r="A4" s="451" t="s">
        <v>158</v>
      </c>
      <c r="B4" s="452"/>
      <c r="C4" s="452"/>
      <c r="D4" s="452"/>
      <c r="E4" s="452"/>
      <c r="F4" s="453"/>
    </row>
    <row r="5" spans="1:7" ht="24.75" thickBot="1">
      <c r="A5" s="454" t="s">
        <v>198</v>
      </c>
      <c r="B5" s="455"/>
      <c r="C5" s="455"/>
      <c r="D5" s="455"/>
      <c r="E5" s="455"/>
      <c r="F5" s="456"/>
    </row>
    <row r="6" spans="1:7" ht="15.75" thickBot="1">
      <c r="A6" s="194"/>
      <c r="B6" s="400"/>
      <c r="C6" s="400"/>
      <c r="D6" s="400"/>
      <c r="E6" s="400"/>
      <c r="F6" s="195"/>
    </row>
    <row r="7" spans="1:7" s="8" customFormat="1" ht="33" thickBot="1">
      <c r="A7" s="300" t="s">
        <v>0</v>
      </c>
      <c r="B7" s="301"/>
      <c r="C7" s="284" t="s">
        <v>257</v>
      </c>
      <c r="D7" s="202" t="s">
        <v>13</v>
      </c>
      <c r="E7" s="457">
        <v>24160204204</v>
      </c>
      <c r="F7" s="458"/>
      <c r="G7" s="9"/>
    </row>
    <row r="8" spans="1:7" s="8" customFormat="1" ht="33" thickBot="1">
      <c r="A8"/>
      <c r="B8" s="10"/>
      <c r="C8" s="285"/>
      <c r="D8" s="10"/>
      <c r="E8" s="10"/>
    </row>
    <row r="9" spans="1:7" s="8" customFormat="1" ht="33" thickBot="1">
      <c r="A9" s="411" t="s">
        <v>12</v>
      </c>
      <c r="B9" s="411"/>
      <c r="C9" s="286" t="s">
        <v>257</v>
      </c>
      <c r="D9" s="203" t="s">
        <v>14</v>
      </c>
      <c r="E9" s="416" t="s">
        <v>15</v>
      </c>
      <c r="F9" s="416"/>
    </row>
    <row r="10" spans="1:7" ht="24" thickBot="1">
      <c r="A10" s="417" t="s">
        <v>150</v>
      </c>
      <c r="B10" s="418"/>
      <c r="C10" s="204" t="s">
        <v>258</v>
      </c>
      <c r="D10" s="205"/>
      <c r="E10" s="422"/>
      <c r="F10" s="422"/>
    </row>
    <row r="11" spans="1:7" ht="24" thickBot="1">
      <c r="A11" s="206"/>
      <c r="B11" s="207"/>
      <c r="C11" s="208"/>
      <c r="D11" s="209"/>
      <c r="E11" s="210"/>
      <c r="F11" s="210"/>
    </row>
    <row r="12" spans="1:7">
      <c r="A12" s="459" t="s">
        <v>159</v>
      </c>
      <c r="B12" s="460"/>
      <c r="C12" s="460"/>
      <c r="D12" s="460"/>
      <c r="E12" s="460"/>
      <c r="F12" s="461"/>
    </row>
    <row r="13" spans="1:7">
      <c r="A13" s="462"/>
      <c r="B13" s="463"/>
      <c r="C13" s="463"/>
      <c r="D13" s="463"/>
      <c r="E13" s="463"/>
      <c r="F13" s="464"/>
    </row>
    <row r="14" spans="1:7" ht="15.75" thickBot="1">
      <c r="A14" s="465"/>
      <c r="B14" s="466"/>
      <c r="C14" s="466"/>
      <c r="D14" s="466"/>
      <c r="E14" s="466"/>
      <c r="F14" s="467"/>
    </row>
    <row r="15" spans="1:7">
      <c r="A15" s="26"/>
      <c r="B15" s="26"/>
      <c r="C15" s="26"/>
      <c r="D15" s="26"/>
      <c r="E15" s="26"/>
      <c r="F15" s="26"/>
    </row>
    <row r="16" spans="1:7" ht="15.75" thickBot="1">
      <c r="A16" s="211"/>
      <c r="B16" s="211"/>
      <c r="C16" s="211"/>
      <c r="D16" s="26"/>
      <c r="E16" s="26"/>
      <c r="F16" s="26"/>
    </row>
    <row r="17" spans="1:6">
      <c r="A17" s="437"/>
      <c r="B17" s="438"/>
      <c r="C17" s="438"/>
      <c r="D17" s="438"/>
      <c r="E17" s="438"/>
      <c r="F17" s="439"/>
    </row>
    <row r="18" spans="1:6">
      <c r="A18" s="440"/>
      <c r="B18" s="340"/>
      <c r="C18" s="340"/>
      <c r="D18" s="340"/>
      <c r="E18" s="340"/>
      <c r="F18" s="441"/>
    </row>
    <row r="19" spans="1:6" ht="15.75" thickBot="1">
      <c r="A19" s="442"/>
      <c r="B19" s="443"/>
      <c r="C19" s="443"/>
      <c r="D19" s="443"/>
      <c r="E19" s="443"/>
      <c r="F19" s="444"/>
    </row>
    <row r="20" spans="1:6" ht="24.75" thickBot="1">
      <c r="A20" s="212" t="s">
        <v>160</v>
      </c>
      <c r="B20" s="436" t="s">
        <v>208</v>
      </c>
      <c r="C20" s="436"/>
      <c r="D20" s="433">
        <v>17842</v>
      </c>
      <c r="E20" s="434"/>
      <c r="F20" s="435"/>
    </row>
    <row r="21" spans="1:6" ht="21.75" thickBot="1">
      <c r="A21" s="213"/>
      <c r="B21" s="214" t="s">
        <v>161</v>
      </c>
      <c r="C21" s="215" t="s">
        <v>162</v>
      </c>
      <c r="D21" s="430"/>
      <c r="E21" s="431"/>
      <c r="F21" s="432"/>
    </row>
    <row r="22" spans="1:6" ht="38.25" thickBot="1">
      <c r="A22" s="213"/>
      <c r="B22" s="214" t="s">
        <v>163</v>
      </c>
      <c r="C22" s="215" t="s">
        <v>164</v>
      </c>
      <c r="D22" s="430"/>
      <c r="E22" s="431"/>
      <c r="F22" s="432"/>
    </row>
    <row r="23" spans="1:6" ht="24.75" thickBot="1">
      <c r="A23" s="213"/>
      <c r="B23" s="216"/>
      <c r="C23" s="217" t="s">
        <v>165</v>
      </c>
      <c r="D23" s="433">
        <f>D20</f>
        <v>17842</v>
      </c>
      <c r="E23" s="434"/>
      <c r="F23" s="435"/>
    </row>
    <row r="24" spans="1:6" ht="24.75" thickBot="1">
      <c r="A24" s="217" t="s">
        <v>166</v>
      </c>
      <c r="B24" s="216"/>
      <c r="C24" s="218" t="s">
        <v>167</v>
      </c>
      <c r="D24" s="430"/>
      <c r="E24" s="431"/>
      <c r="F24" s="432"/>
    </row>
    <row r="25" spans="1:6" ht="38.25" thickBot="1">
      <c r="A25" s="216"/>
      <c r="B25" s="215" t="s">
        <v>161</v>
      </c>
      <c r="C25" s="215" t="s">
        <v>168</v>
      </c>
      <c r="D25" s="430"/>
      <c r="E25" s="431"/>
      <c r="F25" s="432"/>
    </row>
    <row r="26" spans="1:6" ht="38.25" thickBot="1">
      <c r="A26" s="216"/>
      <c r="B26" s="215" t="s">
        <v>163</v>
      </c>
      <c r="C26" s="215" t="s">
        <v>169</v>
      </c>
      <c r="D26" s="430"/>
      <c r="E26" s="431"/>
      <c r="F26" s="432"/>
    </row>
    <row r="27" spans="1:6" ht="24.75" thickBot="1">
      <c r="A27" s="216"/>
      <c r="B27" s="216"/>
      <c r="C27" s="217" t="s">
        <v>170</v>
      </c>
      <c r="D27" s="430"/>
      <c r="E27" s="431"/>
      <c r="F27" s="432"/>
    </row>
    <row r="28" spans="1:6" ht="42.75" thickBot="1">
      <c r="A28" s="216"/>
      <c r="B28" s="216"/>
      <c r="C28" s="214" t="s">
        <v>209</v>
      </c>
      <c r="D28" s="433">
        <f>D20</f>
        <v>17842</v>
      </c>
      <c r="E28" s="434"/>
      <c r="F28" s="435"/>
    </row>
  </sheetData>
  <mergeCells count="23">
    <mergeCell ref="A17:F19"/>
    <mergeCell ref="A2:F2"/>
    <mergeCell ref="A3:F3"/>
    <mergeCell ref="A4:F4"/>
    <mergeCell ref="A5:F5"/>
    <mergeCell ref="B6:E6"/>
    <mergeCell ref="A7:B7"/>
    <mergeCell ref="E7:F7"/>
    <mergeCell ref="A9:B9"/>
    <mergeCell ref="E9:F9"/>
    <mergeCell ref="A10:B10"/>
    <mergeCell ref="E10:F10"/>
    <mergeCell ref="A12:F14"/>
    <mergeCell ref="D25:F25"/>
    <mergeCell ref="D26:F26"/>
    <mergeCell ref="D27:F27"/>
    <mergeCell ref="D28:F28"/>
    <mergeCell ref="B20:C20"/>
    <mergeCell ref="D20:F20"/>
    <mergeCell ref="D21:F21"/>
    <mergeCell ref="D22:F22"/>
    <mergeCell ref="D23:F23"/>
    <mergeCell ref="D24:F24"/>
  </mergeCells>
  <printOptions horizontalCentered="1"/>
  <pageMargins left="0" right="0" top="0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Sheet3</vt:lpstr>
      <vt:lpstr>PARI- 10</vt:lpstr>
      <vt:lpstr>ROJMED</vt:lpstr>
      <vt:lpstr>KHATAVAHI</vt:lpstr>
      <vt:lpstr>GRANTA RAJISTAR</vt:lpstr>
      <vt:lpstr>CHEK RAJISTAR</vt:lpstr>
      <vt:lpstr>Sheet4</vt:lpstr>
      <vt:lpstr>BIL RAJISTAR</vt:lpstr>
      <vt:lpstr>Sheet1</vt:lpstr>
      <vt:lpstr>Sheet5</vt:lpstr>
      <vt:lpstr>Sheet6</vt:lpstr>
      <vt:lpstr>Sheet2</vt:lpstr>
      <vt:lpstr>P10E</vt:lpstr>
      <vt:lpstr>P9E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betavada na muvada</dc:creator>
  <cp:lastModifiedBy>PR-COM</cp:lastModifiedBy>
  <cp:lastPrinted>2025-08-27T15:51:56Z</cp:lastPrinted>
  <dcterms:created xsi:type="dcterms:W3CDTF">2023-04-11T19:42:12Z</dcterms:created>
  <dcterms:modified xsi:type="dcterms:W3CDTF">2025-09-18T07:43:28Z</dcterms:modified>
</cp:coreProperties>
</file>